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2\"/>
    </mc:Choice>
  </mc:AlternateContent>
  <xr:revisionPtr revIDLastSave="0" documentId="13_ncr:1_{4C3A1AB7-EB0F-448A-A1CE-78CF8A3C1D84}" xr6:coauthVersionLast="47" xr6:coauthVersionMax="47" xr10:uidLastSave="{00000000-0000-0000-0000-000000000000}"/>
  <bookViews>
    <workbookView xWindow="-110" yWindow="-110" windowWidth="19420" windowHeight="10420" xr2:uid="{A31F09EB-BC4A-4E28-AFD6-656B84808B88}"/>
  </bookViews>
  <sheets>
    <sheet name="Inventory Records Data" sheetId="2" r:id="rId1"/>
  </sheets>
  <definedNames>
    <definedName name="_xlnm._FilterDatabase" localSheetId="0" hidden="1">'Inventory Records Data'!$B$6:$I$52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2" l="1"/>
  <c r="I30" i="2"/>
  <c r="I25" i="2"/>
  <c r="I24" i="2"/>
  <c r="I40" i="2"/>
  <c r="I42" i="2"/>
  <c r="I39" i="2"/>
  <c r="I51" i="2"/>
  <c r="I48" i="2"/>
  <c r="I11" i="2"/>
  <c r="I12" i="2"/>
  <c r="I44" i="2"/>
  <c r="I13" i="2"/>
  <c r="I35" i="2"/>
  <c r="I52" i="2"/>
  <c r="I19" i="2"/>
  <c r="I21" i="2"/>
  <c r="I18" i="2"/>
  <c r="I16" i="2"/>
  <c r="I20" i="2"/>
  <c r="I22" i="2"/>
  <c r="I9" i="2"/>
  <c r="I32" i="2"/>
  <c r="I38" i="2"/>
  <c r="I41" i="2"/>
  <c r="I23" i="2"/>
  <c r="I36" i="2"/>
  <c r="I34" i="2"/>
  <c r="I10" i="2"/>
  <c r="I31" i="2"/>
  <c r="I33" i="2"/>
  <c r="I43" i="2"/>
  <c r="I8" i="2"/>
  <c r="I49" i="2"/>
  <c r="I14" i="2"/>
  <c r="I37" i="2"/>
  <c r="I26" i="2"/>
  <c r="I28" i="2"/>
  <c r="I45" i="2"/>
  <c r="I7" i="2"/>
  <c r="I46" i="2"/>
  <c r="I29" i="2"/>
  <c r="I50" i="2"/>
  <c r="I47" i="2"/>
  <c r="I17" i="2"/>
  <c r="I27" i="2"/>
  <c r="L13" i="2" s="1"/>
  <c r="L10" i="2" l="1"/>
  <c r="L11" i="2"/>
  <c r="L12" i="2"/>
</calcChain>
</file>

<file path=xl/sharedStrings.xml><?xml version="1.0" encoding="utf-8"?>
<sst xmlns="http://schemas.openxmlformats.org/spreadsheetml/2006/main" count="106" uniqueCount="106">
  <si>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</si>
  <si>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</si>
  <si>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</si>
  <si>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</si>
  <si>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</si>
  <si>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</si>
  <si>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</si>
  <si>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</si>
  <si>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</si>
  <si>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</si>
  <si>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</si>
  <si>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</si>
  <si>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</si>
  <si>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</si>
  <si>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</si>
  <si>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</si>
  <si>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</si>
  <si>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</si>
  <si>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</si>
  <si>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</si>
  <si>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</si>
  <si>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</si>
  <si>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</si>
  <si>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</si>
  <si>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</si>
  <si>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</si>
  <si>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</si>
  <si>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</si>
  <si>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</si>
  <si>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</si>
  <si>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</si>
  <si>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</si>
  <si>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</si>
  <si>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</si>
  <si>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</si>
  <si>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</si>
  <si>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</si>
  <si>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</si>
  <si>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</si>
  <si>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</si>
  <si>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</si>
  <si>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</si>
  <si>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</si>
  <si>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</si>
  <si>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</si>
  <si>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</si>
  <si>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</si>
  <si>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</si>
  <si>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</si>
  <si>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</si>
  <si>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</si>
  <si>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</si>
  <si>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</si>
  <si>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</si>
  <si>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</si>
  <si>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</si>
  <si>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</si>
  <si>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</si>
  <si>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</si>
  <si>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</si>
  <si>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</si>
  <si>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</si>
  <si>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</si>
  <si>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</si>
  <si>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</si>
  <si>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</si>
  <si>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</si>
  <si>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</si>
  <si>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</si>
  <si>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</si>
  <si>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</si>
  <si>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</si>
  <si>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</si>
  <si>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</si>
  <si>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</si>
  <si>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</si>
  <si>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</si>
  <si>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</si>
  <si>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</si>
  <si>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</si>
  <si>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</si>
  <si>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</si>
  <si>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</si>
  <si>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</si>
  <si>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</si>
  <si>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</si>
  <si>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</si>
  <si>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</si>
  <si>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</si>
  <si>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</si>
  <si>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</si>
  <si>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</si>
  <si>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</si>
  <si>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</si>
  <si>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</si>
  <si>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</si>
  <si>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</si>
  <si>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</si>
  <si>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</si>
  <si>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</si>
  <si>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</si>
  <si>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</si>
  <si>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Count</t>
  </si>
  <si>
    <t>Min</t>
  </si>
  <si>
    <t>Max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</si>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</sst>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Continuous" vertical="center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/>
    <xf numFmtId="164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/>
    <xf numFmtId="164" fontId="1" fillId="3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83E28E"/>
          <bgColor rgb="FF000000"/>
        </patternFill>
      </fill>
    </dxf>
    <dxf>
      <fill>
        <patternFill patternType="solid">
          <fgColor rgb="FF83E28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L52"/>
  <sheetViews>
    <sheetView showGridLines="0" tabSelected="1" workbookViewId="0">
      <selection activeCell="I7" sqref="I7"/>
    </sheetView>
  </sheetViews>
  <sheetFormatPr defaultColWidth="8.90625" defaultRowHeight="14.5" x14ac:dyDescent="0.35"/>
  <cols>
    <col min="1" max="1" width="3.54296875" style="3" customWidth="1"/>
    <col min="2" max="2" width="12.54296875" style="3" customWidth="1"/>
    <col min="3" max="3" width="20.90625" style="3" customWidth="1"/>
    <col min="4" max="4" width="10.90625" style="3" customWidth="1"/>
    <col min="5" max="5" width="12" style="3" customWidth="1"/>
    <col min="6" max="6" width="12.6328125" style="3" customWidth="1"/>
    <col min="7" max="7" width="10.54296875" style="3" customWidth="1"/>
    <col min="8" max="8" width="15.08984375" style="3" customWidth="1"/>
    <col min="9" max="9" width="13.6328125" style="3" customWidth="1"/>
    <col min="10" max="11" width="8.90625" style="3"/>
    <col min="12" max="12" width="9.81640625" style="3" bestFit="1" customWidth="1"/>
    <col min="13" max="16384" width="8.90625" style="3"/>
  </cols>
  <sheetData>
    <row r="2" spans="2:12" ht="18.5" x14ac:dyDescent="0.35">
      <c r="B2" s="4" t="s">
        <v>0</v>
      </c>
      <c r="C2" s="4"/>
      <c r="D2" s="4"/>
      <c r="E2" s="4"/>
      <c r="F2" s="4"/>
      <c r="G2" s="4"/>
      <c r="H2" s="4"/>
      <c r="I2" s="4"/>
    </row>
    <row r="4" spans="2:12" ht="18.5" x14ac:dyDescent="0.35">
      <c r="B4" s="5" t="s">
        <v>1</v>
      </c>
      <c r="C4" s="4"/>
      <c r="D4" s="4"/>
      <c r="E4" s="4"/>
      <c r="F4" s="4"/>
      <c r="G4" s="4"/>
      <c r="H4" s="4"/>
      <c r="I4" s="4"/>
    </row>
    <row r="6" spans="2:12" ht="31" x14ac:dyDescent="0.35">
      <c r="B6" s="1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</row>
    <row r="7" spans="2:12" x14ac:dyDescent="0.35">
      <c r="B7" s="6" t="s">
        <v>90</v>
      </c>
      <c r="C7" s="6" t="s">
        <v>91</v>
      </c>
      <c r="D7" s="6">
        <v>25</v>
      </c>
      <c r="E7" s="6">
        <v>8</v>
      </c>
      <c r="F7" s="6">
        <v>3</v>
      </c>
      <c r="G7" s="6">
        <v>28</v>
      </c>
      <c r="H7" s="8">
        <v>10</v>
      </c>
      <c r="I7" s="8">
        <f>H7*G7</f>
        <v>280</v>
      </c>
    </row>
    <row r="8" spans="2:12" x14ac:dyDescent="0.35">
      <c r="B8" s="6" t="s">
        <v>76</v>
      </c>
      <c r="C8" s="6" t="s">
        <v>77</v>
      </c>
      <c r="D8" s="6">
        <v>30</v>
      </c>
      <c r="E8" s="6">
        <v>12</v>
      </c>
      <c r="F8" s="6">
        <v>4</v>
      </c>
      <c r="G8" s="6">
        <v>34</v>
      </c>
      <c r="H8" s="8">
        <v>15</v>
      </c>
      <c r="I8" s="8">
        <f>H8*G8</f>
        <v>510</v>
      </c>
    </row>
    <row r="9" spans="2:12" x14ac:dyDescent="0.35">
      <c r="B9" s="6" t="s">
        <v>54</v>
      </c>
      <c r="C9" s="6" t="s">
        <v>55</v>
      </c>
      <c r="D9" s="6">
        <v>30</v>
      </c>
      <c r="E9" s="6">
        <v>15</v>
      </c>
      <c r="F9" s="6">
        <v>7</v>
      </c>
      <c r="G9" s="6">
        <v>38</v>
      </c>
      <c r="H9" s="8">
        <v>350</v>
      </c>
      <c r="I9" s="8">
        <f>H9*G9</f>
        <v>13300</v>
      </c>
      <c r="K9" s="7"/>
    </row>
    <row r="10" spans="2:12" x14ac:dyDescent="0.35">
      <c r="B10" s="6" t="s">
        <v>68</v>
      </c>
      <c r="C10" s="6" t="s">
        <v>69</v>
      </c>
      <c r="D10" s="6">
        <v>30</v>
      </c>
      <c r="E10" s="6">
        <v>12</v>
      </c>
      <c r="F10" s="6">
        <v>4</v>
      </c>
      <c r="G10" s="6">
        <v>34</v>
      </c>
      <c r="H10" s="8">
        <v>50</v>
      </c>
      <c r="I10" s="8">
        <f>H10*G10</f>
        <v>1700</v>
      </c>
      <c r="K10" s="3" t="s">
        <v>103</v>
      </c>
      <c r="L10" s="9">
        <f>MIN(I:I)</f>
        <v>145</v>
      </c>
    </row>
    <row r="11" spans="2:12" x14ac:dyDescent="0.35">
      <c r="B11" s="6" t="s">
        <v>30</v>
      </c>
      <c r="C11" s="6" t="s">
        <v>31</v>
      </c>
      <c r="D11" s="6">
        <v>20</v>
      </c>
      <c r="E11" s="6">
        <v>8</v>
      </c>
      <c r="F11" s="6">
        <v>3</v>
      </c>
      <c r="G11" s="6">
        <v>25</v>
      </c>
      <c r="H11" s="8">
        <v>150</v>
      </c>
      <c r="I11" s="8">
        <f>H11*G11</f>
        <v>3750</v>
      </c>
      <c r="K11" s="3" t="s">
        <v>104</v>
      </c>
      <c r="L11" s="9">
        <f>MAX(I:I)</f>
        <v>72000</v>
      </c>
    </row>
    <row r="12" spans="2:12" x14ac:dyDescent="0.35">
      <c r="B12" s="6" t="s">
        <v>32</v>
      </c>
      <c r="C12" s="6" t="s">
        <v>33</v>
      </c>
      <c r="D12" s="6">
        <v>30</v>
      </c>
      <c r="E12" s="6">
        <v>15</v>
      </c>
      <c r="F12" s="6">
        <v>7</v>
      </c>
      <c r="G12" s="6">
        <v>38</v>
      </c>
      <c r="H12" s="8">
        <v>30</v>
      </c>
      <c r="I12" s="8">
        <f>H12*G12</f>
        <v>1140</v>
      </c>
      <c r="K12" s="3" t="s">
        <v>102</v>
      </c>
      <c r="L12" s="3">
        <f>COUNT(I:I)</f>
        <v>46</v>
      </c>
    </row>
    <row r="13" spans="2:12" x14ac:dyDescent="0.35">
      <c r="B13" s="6" t="s">
        <v>36</v>
      </c>
      <c r="C13" s="6" t="s">
        <v>37</v>
      </c>
      <c r="D13" s="6">
        <v>60</v>
      </c>
      <c r="E13" s="6">
        <v>30</v>
      </c>
      <c r="F13" s="6">
        <v>15</v>
      </c>
      <c r="G13" s="6">
        <v>75</v>
      </c>
      <c r="H13" s="8">
        <v>10</v>
      </c>
      <c r="I13" s="8">
        <f>H13*G13</f>
        <v>750</v>
      </c>
      <c r="K13" s="3" t="s">
        <v>105</v>
      </c>
      <c r="L13" s="3">
        <f>COUNTA(I:I)</f>
        <v>47</v>
      </c>
    </row>
    <row r="14" spans="2:12" x14ac:dyDescent="0.35">
      <c r="B14" s="6" t="s">
        <v>80</v>
      </c>
      <c r="C14" s="6" t="s">
        <v>81</v>
      </c>
      <c r="D14" s="6">
        <v>15</v>
      </c>
      <c r="E14" s="6">
        <v>6</v>
      </c>
      <c r="F14" s="6">
        <v>2</v>
      </c>
      <c r="G14" s="6">
        <v>17</v>
      </c>
      <c r="H14" s="8">
        <v>50</v>
      </c>
      <c r="I14" s="8">
        <f>H14*G14</f>
        <v>850</v>
      </c>
    </row>
    <row r="15" spans="2:12" x14ac:dyDescent="0.35">
      <c r="B15" s="6" t="s">
        <v>24</v>
      </c>
      <c r="C15" s="6" t="s">
        <v>25</v>
      </c>
      <c r="D15" s="6">
        <v>25</v>
      </c>
      <c r="E15" s="6">
        <v>12</v>
      </c>
      <c r="F15" s="6">
        <v>5</v>
      </c>
      <c r="G15" s="6">
        <v>32</v>
      </c>
      <c r="H15" s="8">
        <v>200</v>
      </c>
      <c r="I15" s="8">
        <f>H15*G15</f>
        <v>6400</v>
      </c>
    </row>
    <row r="16" spans="2:12" x14ac:dyDescent="0.35">
      <c r="B16" s="6" t="s">
        <v>48</v>
      </c>
      <c r="C16" s="6" t="s">
        <v>49</v>
      </c>
      <c r="D16" s="6">
        <v>15</v>
      </c>
      <c r="E16" s="6">
        <v>6</v>
      </c>
      <c r="F16" s="6">
        <v>2</v>
      </c>
      <c r="G16" s="6">
        <v>19</v>
      </c>
      <c r="H16" s="8">
        <v>200</v>
      </c>
      <c r="I16" s="8">
        <f>H16*G16</f>
        <v>3800</v>
      </c>
    </row>
    <row r="17" spans="2:9" x14ac:dyDescent="0.35">
      <c r="B17" s="6" t="s">
        <v>100</v>
      </c>
      <c r="C17" s="6" t="s">
        <v>101</v>
      </c>
      <c r="D17" s="6">
        <v>25</v>
      </c>
      <c r="E17" s="6">
        <v>10</v>
      </c>
      <c r="F17" s="6">
        <v>3</v>
      </c>
      <c r="G17" s="6">
        <v>28</v>
      </c>
      <c r="H17" s="8">
        <v>150</v>
      </c>
      <c r="I17" s="11">
        <f>H17*G17</f>
        <v>4200</v>
      </c>
    </row>
    <row r="18" spans="2:9" x14ac:dyDescent="0.35">
      <c r="B18" s="6" t="s">
        <v>46</v>
      </c>
      <c r="C18" s="6" t="s">
        <v>47</v>
      </c>
      <c r="D18" s="6">
        <v>20</v>
      </c>
      <c r="E18" s="6">
        <v>8</v>
      </c>
      <c r="F18" s="6">
        <v>3</v>
      </c>
      <c r="G18" s="6">
        <v>25</v>
      </c>
      <c r="H18" s="8">
        <v>120</v>
      </c>
      <c r="I18" s="11">
        <f>H18*G18</f>
        <v>3000</v>
      </c>
    </row>
    <row r="19" spans="2:9" x14ac:dyDescent="0.35">
      <c r="B19" s="6" t="s">
        <v>42</v>
      </c>
      <c r="C19" s="6" t="s">
        <v>43</v>
      </c>
      <c r="D19" s="6">
        <v>25</v>
      </c>
      <c r="E19" s="6">
        <v>10</v>
      </c>
      <c r="F19" s="6">
        <v>4</v>
      </c>
      <c r="G19" s="6">
        <v>31</v>
      </c>
      <c r="H19" s="8">
        <v>100</v>
      </c>
      <c r="I19" s="8">
        <f>H19*G19</f>
        <v>3100</v>
      </c>
    </row>
    <row r="20" spans="2:9" x14ac:dyDescent="0.35">
      <c r="B20" s="6" t="s">
        <v>50</v>
      </c>
      <c r="C20" s="6" t="s">
        <v>51</v>
      </c>
      <c r="D20" s="6">
        <v>25</v>
      </c>
      <c r="E20" s="6">
        <v>10</v>
      </c>
      <c r="F20" s="6">
        <v>4</v>
      </c>
      <c r="G20" s="6">
        <v>29</v>
      </c>
      <c r="H20" s="8">
        <v>400</v>
      </c>
      <c r="I20" s="8">
        <f>H20*G20</f>
        <v>11600</v>
      </c>
    </row>
    <row r="21" spans="2:9" x14ac:dyDescent="0.35">
      <c r="B21" s="6" t="s">
        <v>44</v>
      </c>
      <c r="C21" s="6" t="s">
        <v>45</v>
      </c>
      <c r="D21" s="6">
        <v>30</v>
      </c>
      <c r="E21" s="6">
        <v>12</v>
      </c>
      <c r="F21" s="6">
        <v>6</v>
      </c>
      <c r="G21" s="6">
        <v>36</v>
      </c>
      <c r="H21" s="8">
        <v>80</v>
      </c>
      <c r="I21" s="8">
        <f>H21*G21</f>
        <v>2880</v>
      </c>
    </row>
    <row r="22" spans="2:9" x14ac:dyDescent="0.35">
      <c r="B22" s="6" t="s">
        <v>52</v>
      </c>
      <c r="C22" s="6" t="s">
        <v>53</v>
      </c>
      <c r="D22" s="6">
        <v>40</v>
      </c>
      <c r="E22" s="6">
        <v>18</v>
      </c>
      <c r="F22" s="6">
        <v>9</v>
      </c>
      <c r="G22" s="6">
        <v>49</v>
      </c>
      <c r="H22" s="8">
        <v>600</v>
      </c>
      <c r="I22" s="8">
        <f>H22*G22</f>
        <v>29400</v>
      </c>
    </row>
    <row r="23" spans="2:9" x14ac:dyDescent="0.35">
      <c r="B23" s="6" t="s">
        <v>62</v>
      </c>
      <c r="C23" s="6" t="s">
        <v>63</v>
      </c>
      <c r="D23" s="6">
        <v>60</v>
      </c>
      <c r="E23" s="6">
        <v>25</v>
      </c>
      <c r="F23" s="6">
        <v>12</v>
      </c>
      <c r="G23" s="6">
        <v>73</v>
      </c>
      <c r="H23" s="8">
        <v>60</v>
      </c>
      <c r="I23" s="10">
        <f>H23*G23</f>
        <v>4380</v>
      </c>
    </row>
    <row r="24" spans="2:9" x14ac:dyDescent="0.35">
      <c r="B24" s="6" t="s">
        <v>16</v>
      </c>
      <c r="C24" s="6" t="s">
        <v>17</v>
      </c>
      <c r="D24" s="6">
        <v>30</v>
      </c>
      <c r="E24" s="6">
        <v>10</v>
      </c>
      <c r="F24" s="6">
        <v>3</v>
      </c>
      <c r="G24" s="6">
        <v>37</v>
      </c>
      <c r="H24" s="8">
        <v>100</v>
      </c>
      <c r="I24" s="8">
        <f>H24*G24</f>
        <v>3700</v>
      </c>
    </row>
    <row r="25" spans="2:9" x14ac:dyDescent="0.35">
      <c r="B25" s="6" t="s">
        <v>14</v>
      </c>
      <c r="C25" s="6" t="s">
        <v>15</v>
      </c>
      <c r="D25" s="6">
        <v>60</v>
      </c>
      <c r="E25" s="6">
        <v>25</v>
      </c>
      <c r="F25" s="6">
        <v>15</v>
      </c>
      <c r="G25" s="6">
        <v>70</v>
      </c>
      <c r="H25" s="8">
        <v>50</v>
      </c>
      <c r="I25" s="10">
        <f>H25*G25</f>
        <v>3500</v>
      </c>
    </row>
    <row r="26" spans="2:9" x14ac:dyDescent="0.35">
      <c r="B26" s="6" t="s">
        <v>84</v>
      </c>
      <c r="C26" s="6" t="s">
        <v>85</v>
      </c>
      <c r="D26" s="6">
        <v>40</v>
      </c>
      <c r="E26" s="6">
        <v>18</v>
      </c>
      <c r="F26" s="6">
        <v>9</v>
      </c>
      <c r="G26" s="6">
        <v>49</v>
      </c>
      <c r="H26" s="8">
        <v>8</v>
      </c>
      <c r="I26" s="8">
        <f>H26*G26</f>
        <v>392</v>
      </c>
    </row>
    <row r="27" spans="2:9" x14ac:dyDescent="0.35">
      <c r="B27" s="6" t="s">
        <v>10</v>
      </c>
      <c r="C27" s="6" t="s">
        <v>11</v>
      </c>
      <c r="D27" s="6">
        <v>50</v>
      </c>
      <c r="E27" s="6">
        <v>20</v>
      </c>
      <c r="F27" s="6">
        <v>10</v>
      </c>
      <c r="G27" s="6">
        <v>60</v>
      </c>
      <c r="H27" s="8">
        <v>1200</v>
      </c>
      <c r="I27" s="8">
        <f>H27*G27</f>
        <v>72000</v>
      </c>
    </row>
    <row r="28" spans="2:9" x14ac:dyDescent="0.35">
      <c r="B28" s="6" t="s">
        <v>86</v>
      </c>
      <c r="C28" s="6" t="s">
        <v>87</v>
      </c>
      <c r="D28" s="6">
        <v>30</v>
      </c>
      <c r="E28" s="6">
        <v>15</v>
      </c>
      <c r="F28" s="6">
        <v>6</v>
      </c>
      <c r="G28" s="6">
        <v>39</v>
      </c>
      <c r="H28" s="8">
        <v>20</v>
      </c>
      <c r="I28" s="8">
        <f>H28*G28</f>
        <v>780</v>
      </c>
    </row>
    <row r="29" spans="2:9" x14ac:dyDescent="0.35">
      <c r="B29" s="6" t="s">
        <v>94</v>
      </c>
      <c r="C29" s="6" t="s">
        <v>95</v>
      </c>
      <c r="D29" s="6">
        <v>30</v>
      </c>
      <c r="E29" s="6">
        <v>12</v>
      </c>
      <c r="F29" s="6">
        <v>5</v>
      </c>
      <c r="G29" s="6">
        <v>37</v>
      </c>
      <c r="H29" s="8">
        <v>20</v>
      </c>
      <c r="I29" s="10">
        <f>H29*G29</f>
        <v>740</v>
      </c>
    </row>
    <row r="30" spans="2:9" x14ac:dyDescent="0.35">
      <c r="B30" s="6" t="s">
        <v>12</v>
      </c>
      <c r="C30" s="6" t="s">
        <v>13</v>
      </c>
      <c r="D30" s="6">
        <v>40</v>
      </c>
      <c r="E30" s="6">
        <v>15</v>
      </c>
      <c r="F30" s="6">
        <v>5</v>
      </c>
      <c r="G30" s="6">
        <v>50</v>
      </c>
      <c r="H30" s="8">
        <v>500</v>
      </c>
      <c r="I30" s="8">
        <f>H30*G30</f>
        <v>25000</v>
      </c>
    </row>
    <row r="31" spans="2:9" x14ac:dyDescent="0.35">
      <c r="B31" s="6" t="s">
        <v>70</v>
      </c>
      <c r="C31" s="6" t="s">
        <v>71</v>
      </c>
      <c r="D31" s="6">
        <v>25</v>
      </c>
      <c r="E31" s="6">
        <v>10</v>
      </c>
      <c r="F31" s="6">
        <v>3</v>
      </c>
      <c r="G31" s="6">
        <v>28</v>
      </c>
      <c r="H31" s="8">
        <v>30</v>
      </c>
      <c r="I31" s="8">
        <f>H31*G31</f>
        <v>840</v>
      </c>
    </row>
    <row r="32" spans="2:9" x14ac:dyDescent="0.35">
      <c r="B32" s="6" t="s">
        <v>56</v>
      </c>
      <c r="C32" s="6" t="s">
        <v>57</v>
      </c>
      <c r="D32" s="6">
        <v>25</v>
      </c>
      <c r="E32" s="6">
        <v>12</v>
      </c>
      <c r="F32" s="6">
        <v>5</v>
      </c>
      <c r="G32" s="6">
        <v>32</v>
      </c>
      <c r="H32" s="8">
        <v>200</v>
      </c>
      <c r="I32" s="8">
        <f>H32*G32</f>
        <v>6400</v>
      </c>
    </row>
    <row r="33" spans="2:9" x14ac:dyDescent="0.35">
      <c r="B33" s="6" t="s">
        <v>72</v>
      </c>
      <c r="C33" s="6" t="s">
        <v>73</v>
      </c>
      <c r="D33" s="6">
        <v>50</v>
      </c>
      <c r="E33" s="6">
        <v>20</v>
      </c>
      <c r="F33" s="6">
        <v>8</v>
      </c>
      <c r="G33" s="6">
        <v>58</v>
      </c>
      <c r="H33" s="8">
        <v>10</v>
      </c>
      <c r="I33" s="8">
        <f>H33*G33</f>
        <v>580</v>
      </c>
    </row>
    <row r="34" spans="2:9" x14ac:dyDescent="0.35">
      <c r="B34" s="6" t="s">
        <v>66</v>
      </c>
      <c r="C34" s="6" t="s">
        <v>67</v>
      </c>
      <c r="D34" s="6">
        <v>40</v>
      </c>
      <c r="E34" s="6">
        <v>18</v>
      </c>
      <c r="F34" s="6">
        <v>9</v>
      </c>
      <c r="G34" s="6">
        <v>49</v>
      </c>
      <c r="H34" s="8">
        <v>80</v>
      </c>
      <c r="I34" s="8">
        <f>H34*G34</f>
        <v>3920</v>
      </c>
    </row>
    <row r="35" spans="2:9" x14ac:dyDescent="0.35">
      <c r="B35" s="6" t="s">
        <v>38</v>
      </c>
      <c r="C35" s="6" t="s">
        <v>39</v>
      </c>
      <c r="D35" s="6">
        <v>40</v>
      </c>
      <c r="E35" s="6">
        <v>20</v>
      </c>
      <c r="F35" s="6">
        <v>8</v>
      </c>
      <c r="G35" s="6">
        <v>52</v>
      </c>
      <c r="H35" s="8">
        <v>25</v>
      </c>
      <c r="I35" s="10">
        <f>H35*G35</f>
        <v>1300</v>
      </c>
    </row>
    <row r="36" spans="2:9" x14ac:dyDescent="0.35">
      <c r="B36" s="6" t="s">
        <v>64</v>
      </c>
      <c r="C36" s="6" t="s">
        <v>65</v>
      </c>
      <c r="D36" s="6">
        <v>35</v>
      </c>
      <c r="E36" s="6">
        <v>15</v>
      </c>
      <c r="F36" s="6">
        <v>6</v>
      </c>
      <c r="G36" s="6">
        <v>44</v>
      </c>
      <c r="H36" s="8">
        <v>100</v>
      </c>
      <c r="I36" s="8">
        <f>H36*G36</f>
        <v>4400</v>
      </c>
    </row>
    <row r="37" spans="2:9" x14ac:dyDescent="0.35">
      <c r="B37" s="6" t="s">
        <v>82</v>
      </c>
      <c r="C37" s="6" t="s">
        <v>83</v>
      </c>
      <c r="D37" s="6">
        <v>25</v>
      </c>
      <c r="E37" s="6">
        <v>10</v>
      </c>
      <c r="F37" s="6">
        <v>4</v>
      </c>
      <c r="G37" s="6">
        <v>29</v>
      </c>
      <c r="H37" s="8">
        <v>5</v>
      </c>
      <c r="I37" s="8">
        <f>H37*G37</f>
        <v>145</v>
      </c>
    </row>
    <row r="38" spans="2:9" x14ac:dyDescent="0.35">
      <c r="B38" s="6" t="s">
        <v>58</v>
      </c>
      <c r="C38" s="6" t="s">
        <v>59</v>
      </c>
      <c r="D38" s="6">
        <v>50</v>
      </c>
      <c r="E38" s="6">
        <v>22</v>
      </c>
      <c r="F38" s="6">
        <v>11</v>
      </c>
      <c r="G38" s="6">
        <v>61</v>
      </c>
      <c r="H38" s="8">
        <v>80</v>
      </c>
      <c r="I38" s="8">
        <f>H38*G38</f>
        <v>4880</v>
      </c>
    </row>
    <row r="39" spans="2:9" x14ac:dyDescent="0.35">
      <c r="B39" s="6" t="s">
        <v>22</v>
      </c>
      <c r="C39" s="6" t="s">
        <v>23</v>
      </c>
      <c r="D39" s="6">
        <v>55</v>
      </c>
      <c r="E39" s="6">
        <v>22</v>
      </c>
      <c r="F39" s="6">
        <v>12</v>
      </c>
      <c r="G39" s="6">
        <v>65</v>
      </c>
      <c r="H39" s="8">
        <v>150</v>
      </c>
      <c r="I39" s="8">
        <f>H39*G39</f>
        <v>9750</v>
      </c>
    </row>
    <row r="40" spans="2:9" x14ac:dyDescent="0.35">
      <c r="B40" s="6" t="s">
        <v>18</v>
      </c>
      <c r="C40" s="6" t="s">
        <v>19</v>
      </c>
      <c r="D40" s="6">
        <v>70</v>
      </c>
      <c r="E40" s="6">
        <v>30</v>
      </c>
      <c r="F40" s="6">
        <v>20</v>
      </c>
      <c r="G40" s="6">
        <v>80</v>
      </c>
      <c r="H40" s="8">
        <v>900</v>
      </c>
      <c r="I40" s="8">
        <f>H40*G40</f>
        <v>72000</v>
      </c>
    </row>
    <row r="41" spans="2:9" x14ac:dyDescent="0.35">
      <c r="B41" s="6" t="s">
        <v>60</v>
      </c>
      <c r="C41" s="6" t="s">
        <v>61</v>
      </c>
      <c r="D41" s="6">
        <v>45</v>
      </c>
      <c r="E41" s="6">
        <v>20</v>
      </c>
      <c r="F41" s="6">
        <v>8</v>
      </c>
      <c r="G41" s="6">
        <v>57</v>
      </c>
      <c r="H41" s="8">
        <v>120</v>
      </c>
      <c r="I41" s="8">
        <f>H41*G41</f>
        <v>6840</v>
      </c>
    </row>
    <row r="42" spans="2:9" x14ac:dyDescent="0.35">
      <c r="B42" s="6" t="s">
        <v>20</v>
      </c>
      <c r="C42" s="6" t="s">
        <v>21</v>
      </c>
      <c r="D42" s="6">
        <v>45</v>
      </c>
      <c r="E42" s="6">
        <v>18</v>
      </c>
      <c r="F42" s="6">
        <v>8</v>
      </c>
      <c r="G42" s="6">
        <v>55</v>
      </c>
      <c r="H42" s="8">
        <v>700</v>
      </c>
      <c r="I42" s="11">
        <f>H42*G42</f>
        <v>38500</v>
      </c>
    </row>
    <row r="43" spans="2:9" x14ac:dyDescent="0.35">
      <c r="B43" s="6" t="s">
        <v>74</v>
      </c>
      <c r="C43" s="6" t="s">
        <v>75</v>
      </c>
      <c r="D43" s="6">
        <v>40</v>
      </c>
      <c r="E43" s="6">
        <v>15</v>
      </c>
      <c r="F43" s="6">
        <v>5</v>
      </c>
      <c r="G43" s="6">
        <v>50</v>
      </c>
      <c r="H43" s="8">
        <v>5</v>
      </c>
      <c r="I43" s="8">
        <f>H43*G43</f>
        <v>250</v>
      </c>
    </row>
    <row r="44" spans="2:9" x14ac:dyDescent="0.35">
      <c r="B44" s="6" t="s">
        <v>34</v>
      </c>
      <c r="C44" s="6" t="s">
        <v>35</v>
      </c>
      <c r="D44" s="6">
        <v>50</v>
      </c>
      <c r="E44" s="6">
        <v>25</v>
      </c>
      <c r="F44" s="6">
        <v>12</v>
      </c>
      <c r="G44" s="6">
        <v>63</v>
      </c>
      <c r="H44" s="8">
        <v>20</v>
      </c>
      <c r="I44" s="8">
        <f>H44*G44</f>
        <v>1260</v>
      </c>
    </row>
    <row r="45" spans="2:9" x14ac:dyDescent="0.35">
      <c r="B45" s="6" t="s">
        <v>88</v>
      </c>
      <c r="C45" s="6" t="s">
        <v>89</v>
      </c>
      <c r="D45" s="6">
        <v>35</v>
      </c>
      <c r="E45" s="6">
        <v>12</v>
      </c>
      <c r="F45" s="6">
        <v>4</v>
      </c>
      <c r="G45" s="6">
        <v>31</v>
      </c>
      <c r="H45" s="8">
        <v>15</v>
      </c>
      <c r="I45" s="11">
        <f>H45*G45</f>
        <v>465</v>
      </c>
    </row>
    <row r="46" spans="2:9" x14ac:dyDescent="0.35">
      <c r="B46" s="6" t="s">
        <v>92</v>
      </c>
      <c r="C46" s="6" t="s">
        <v>93</v>
      </c>
      <c r="D46" s="6">
        <v>20</v>
      </c>
      <c r="E46" s="6">
        <v>10</v>
      </c>
      <c r="F46" s="6">
        <v>4</v>
      </c>
      <c r="G46" s="6">
        <v>24</v>
      </c>
      <c r="H46" s="8">
        <v>15</v>
      </c>
      <c r="I46" s="8">
        <f>H46*G46</f>
        <v>360</v>
      </c>
    </row>
    <row r="47" spans="2:9" x14ac:dyDescent="0.35">
      <c r="B47" s="6" t="s">
        <v>98</v>
      </c>
      <c r="C47" s="6" t="s">
        <v>99</v>
      </c>
      <c r="D47" s="6">
        <v>50</v>
      </c>
      <c r="E47" s="6">
        <v>20</v>
      </c>
      <c r="F47" s="6">
        <v>9</v>
      </c>
      <c r="G47" s="6">
        <v>61</v>
      </c>
      <c r="H47" s="8">
        <v>8</v>
      </c>
      <c r="I47" s="8">
        <f>H47*G47</f>
        <v>488</v>
      </c>
    </row>
    <row r="48" spans="2:9" x14ac:dyDescent="0.35">
      <c r="B48" s="6" t="s">
        <v>28</v>
      </c>
      <c r="C48" s="6" t="s">
        <v>29</v>
      </c>
      <c r="D48" s="6">
        <v>40</v>
      </c>
      <c r="E48" s="6">
        <v>20</v>
      </c>
      <c r="F48" s="6">
        <v>10</v>
      </c>
      <c r="G48" s="6">
        <v>50</v>
      </c>
      <c r="H48" s="8">
        <v>60</v>
      </c>
      <c r="I48" s="8">
        <f>H48*G48</f>
        <v>3000</v>
      </c>
    </row>
    <row r="49" spans="2:9" x14ac:dyDescent="0.35">
      <c r="B49" s="6" t="s">
        <v>78</v>
      </c>
      <c r="C49" s="6" t="s">
        <v>79</v>
      </c>
      <c r="D49" s="6">
        <v>20</v>
      </c>
      <c r="E49" s="6">
        <v>8</v>
      </c>
      <c r="F49" s="6">
        <v>3</v>
      </c>
      <c r="G49" s="6">
        <v>23</v>
      </c>
      <c r="H49" s="8">
        <v>20</v>
      </c>
      <c r="I49" s="8">
        <f>H49*G49</f>
        <v>460</v>
      </c>
    </row>
    <row r="50" spans="2:9" x14ac:dyDescent="0.35">
      <c r="B50" s="6" t="s">
        <v>96</v>
      </c>
      <c r="C50" s="6" t="s">
        <v>97</v>
      </c>
      <c r="D50" s="6">
        <v>40</v>
      </c>
      <c r="E50" s="6">
        <v>18</v>
      </c>
      <c r="F50" s="6">
        <v>7</v>
      </c>
      <c r="G50" s="6">
        <v>51</v>
      </c>
      <c r="H50" s="8">
        <v>30</v>
      </c>
      <c r="I50" s="8">
        <f>H50*G50</f>
        <v>1530</v>
      </c>
    </row>
    <row r="51" spans="2:9" x14ac:dyDescent="0.35">
      <c r="B51" s="6" t="s">
        <v>26</v>
      </c>
      <c r="C51" s="6" t="s">
        <v>27</v>
      </c>
      <c r="D51" s="6">
        <v>35</v>
      </c>
      <c r="E51" s="6">
        <v>15</v>
      </c>
      <c r="F51" s="6">
        <v>7</v>
      </c>
      <c r="G51" s="6">
        <v>43</v>
      </c>
      <c r="H51" s="8">
        <v>80</v>
      </c>
      <c r="I51" s="8">
        <f>H51*G51</f>
        <v>3440</v>
      </c>
    </row>
    <row r="52" spans="2:9" x14ac:dyDescent="0.35">
      <c r="B52" s="6" t="s">
        <v>40</v>
      </c>
      <c r="C52" s="6" t="s">
        <v>41</v>
      </c>
      <c r="D52" s="6">
        <v>35</v>
      </c>
      <c r="E52" s="6">
        <v>15</v>
      </c>
      <c r="F52" s="6">
        <v>5</v>
      </c>
      <c r="G52" s="6">
        <v>45</v>
      </c>
      <c r="H52" s="8">
        <v>40</v>
      </c>
      <c r="I52" s="8">
        <f>H52*G52</f>
        <v>1800</v>
      </c>
    </row>
  </sheetData>
  <sortState xmlns:xlrd2="http://schemas.microsoft.com/office/spreadsheetml/2017/richdata2" ref="B7:I52">
    <sortCondition ref="C7:C52"/>
    <sortCondition descending="1" ref="D7:D52"/>
    <sortCondition descending="1" ref="E7:E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DIGITAL</cp:lastModifiedBy>
  <dcterms:created xsi:type="dcterms:W3CDTF">2024-02-19T11:46:38Z</dcterms:created>
  <dcterms:modified xsi:type="dcterms:W3CDTF">2026-08-04T07:50:31Z</dcterms:modified>
</cp:coreProperties>
</file>