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1\Day 5\"/>
    </mc:Choice>
  </mc:AlternateContent>
  <xr:revisionPtr revIDLastSave="0" documentId="13_ncr:1_{1C0FD639-DA66-4CA9-AFCE-B3C9E37502DA}" xr6:coauthVersionLast="47" xr6:coauthVersionMax="47" xr10:uidLastSave="{00000000-0000-0000-0000-000000000000}"/>
  <bookViews>
    <workbookView xWindow="-110" yWindow="-110" windowWidth="19420" windowHeight="10420" activeTab="2" xr2:uid="{F67A41FB-A483-4265-855C-013D76C065DC}"/>
  </bookViews>
  <sheets>
    <sheet name="Example 1" sheetId="1" r:id="rId1"/>
    <sheet name="MD" sheetId="2" r:id="rId2"/>
    <sheet name="Example 2" sheetId="3" r:id="rId3"/>
    <sheet name="Master" sheetId="4" r:id="rId4"/>
    <sheet name="B_Mas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3" l="1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4" i="3" a="1"/>
  <c r="C4" i="3" s="1"/>
  <c r="B5" i="3"/>
  <c r="B6" i="3"/>
  <c r="B7" i="3"/>
  <c r="B8" i="3"/>
  <c r="B9" i="3"/>
  <c r="B10" i="3"/>
  <c r="B11" i="3"/>
  <c r="B12" i="3"/>
  <c r="B13" i="3"/>
  <c r="B4" i="3"/>
  <c r="D6" i="1"/>
  <c r="D7" i="1"/>
  <c r="D8" i="1"/>
  <c r="D9" i="1"/>
  <c r="D10" i="1"/>
  <c r="D11" i="1"/>
  <c r="D12" i="1"/>
  <c r="D5" i="1"/>
  <c r="C6" i="1"/>
  <c r="C7" i="1"/>
  <c r="C8" i="1"/>
  <c r="C9" i="1"/>
  <c r="C10" i="1"/>
  <c r="C11" i="1"/>
  <c r="C12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<sst xmlns="http://schemas.openxmlformats.org/spreadsheetml/2006/main" count="289" uniqueCount="90">
  <si>
    <t>Name</t>
  </si>
  <si>
    <t>Yearly Salary</t>
  </si>
  <si>
    <t>Department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</si>
  <si>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</si>
  <si>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</si>
  <si>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</si>
  <si>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</si>
  <si>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</si>
  <si>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</si>
  <si>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</si>
  <si>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</si>
  <si>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Division</t>
  </si>
  <si>
    <t>Utility</t>
  </si>
  <si>
    <t>Finance</t>
  </si>
  <si>
    <t>Productivity</t>
  </si>
  <si>
    <t>Sales</t>
  </si>
  <si>
    <t>Procurement</t>
  </si>
  <si>
    <t>Kim West</t>
  </si>
  <si>
    <t>Stevie Bridge</t>
  </si>
  <si>
    <t>Game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</si>
  <si>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</si>
  <si>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</si>
  <si>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</si>
  <si>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</si>
  <si>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</si>
  <si>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</si>
  <si>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</si>
  <si>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</si>
  <si>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</si>
  <si>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</si>
  <si>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</si>
  <si>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</si>
  <si>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</si>
  <si>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</si>
  <si>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</si>
  <si>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</si>
  <si>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</si>
  <si>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</si>
  <si>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</si>
  <si>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</si>
  <si>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</si>
  <si>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Start Date</t>
  </si>
  <si>
    <t>Master data for employees</t>
  </si>
  <si>
    <t>Current Division</t>
  </si>
  <si>
    <t>Project Team</t>
  </si>
  <si>
    <t>XLOOKUP Explained</t>
  </si>
  <si>
    <t>Lookup to the LEFT</t>
  </si>
  <si>
    <t>Employee</t>
  </si>
  <si>
    <t>ID</t>
  </si>
  <si>
    <t>Bonus %</t>
  </si>
  <si>
    <t>Employee Name</t>
  </si>
  <si>
    <t>Employee ID</t>
  </si>
  <si>
    <t>ID18</t>
  </si>
  <si>
    <t>ID8</t>
  </si>
  <si>
    <t>ID24</t>
  </si>
  <si>
    <t>ID23</t>
  </si>
  <si>
    <t>ID13</t>
  </si>
  <si>
    <t>ID7</t>
  </si>
  <si>
    <t>ID19</t>
  </si>
  <si>
    <t>ID22</t>
  </si>
  <si>
    <t>ID5</t>
  </si>
  <si>
    <t>ID9</t>
  </si>
  <si>
    <t>ID17</t>
  </si>
  <si>
    <t>ID10</t>
  </si>
  <si>
    <t>ID21</t>
  </si>
  <si>
    <t>ID3</t>
  </si>
  <si>
    <t>ID29</t>
  </si>
  <si>
    <t>ID30</t>
  </si>
  <si>
    <t>ID14</t>
  </si>
  <si>
    <t>ID16</t>
  </si>
  <si>
    <t>ID27</t>
  </si>
  <si>
    <t>ID4</t>
  </si>
  <si>
    <t>ID12</t>
  </si>
  <si>
    <t>ID20</t>
  </si>
  <si>
    <t>ID28</t>
  </si>
  <si>
    <t>ID25</t>
  </si>
  <si>
    <t>ID1</t>
  </si>
  <si>
    <t>ID15</t>
  </si>
  <si>
    <t>ID2</t>
  </si>
  <si>
    <t>ID11</t>
  </si>
  <si>
    <t>ID26</t>
  </si>
  <si>
    <t>ID6</t>
  </si>
  <si>
    <t>ID31</t>
  </si>
  <si>
    <t>EmployeID</t>
  </si>
  <si>
    <t>Master Data</t>
  </si>
  <si>
    <t>Key Learning:</t>
  </si>
  <si>
    <t>Extract Data - Search from Top and Bottom</t>
  </si>
  <si>
    <t>Extract Multiple Columns</t>
  </si>
  <si>
    <t>If Not Found</t>
  </si>
  <si>
    <t>Understanding XLookup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</si>
</sst>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A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rgb="FF80808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2" xfId="2"/>
    <xf numFmtId="0" fontId="4" fillId="0" borderId="3" xfId="3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0" fillId="0" borderId="0" xfId="1" applyFon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3" borderId="0" xfId="0" applyFill="1"/>
  </cellXfs>
  <cellStyles count="8">
    <cellStyle name="Heading 1" xfId="2" builtinId="16"/>
    <cellStyle name="Heading 1 2" xfId="7" xr:uid="{7F97CE12-B2AD-4D76-91E5-1D8205CDCD98}"/>
    <cellStyle name="Heading 2" xfId="3" builtinId="17"/>
    <cellStyle name="Hyperlink 2" xfId="5" xr:uid="{7A33224C-4B07-4A69-9811-331F0F48BEA7}"/>
    <cellStyle name="Hyperlink 3" xfId="6" xr:uid="{7B2464B0-6438-4186-B086-6AC536F518CE}"/>
    <cellStyle name="Normal" xfId="0" builtinId="0"/>
    <cellStyle name="Normal 2" xfId="4" xr:uid="{6772BBE3-8465-432A-993C-EEA5F5F1372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4B9-8A5B-47F3-9BAD-EB82F47514F3}">
  <sheetPr>
    <tabColor theme="0" tint="-0.249977111117893"/>
  </sheetPr>
  <dimension ref="A1:G13"/>
  <sheetViews>
    <sheetView zoomScale="128" zoomScaleNormal="175" workbookViewId="0">
      <selection activeCell="D5" sqref="D5:D12"/>
    </sheetView>
  </sheetViews>
  <sheetFormatPr defaultRowHeight="14.5"/>
  <cols>
    <col min="1" max="1" width="15.1796875" customWidth="1"/>
    <col min="2" max="2" width="11.08984375" bestFit="1" customWidth="1"/>
    <col min="3" max="3" width="14" customWidth="1"/>
    <col min="4" max="4" width="14.54296875" customWidth="1"/>
  </cols>
  <sheetData>
    <row r="1" spans="1:7" ht="18.5">
      <c r="A1" s="1" t="s">
        <v>45</v>
      </c>
      <c r="B1" s="2"/>
      <c r="C1" s="2"/>
      <c r="D1" s="2"/>
      <c r="E1" s="2"/>
      <c r="G1" s="14" t="s">
        <v>85</v>
      </c>
    </row>
    <row r="2" spans="1:7">
      <c r="G2" t="s">
        <v>89</v>
      </c>
    </row>
    <row r="3" spans="1:7">
      <c r="A3" t="s">
        <v>44</v>
      </c>
      <c r="G3" t="s">
        <v>86</v>
      </c>
    </row>
    <row r="4" spans="1:7" ht="16" thickBot="1">
      <c r="A4" s="3" t="s">
        <v>0</v>
      </c>
      <c r="B4" s="4" t="s">
        <v>1</v>
      </c>
      <c r="C4" s="5" t="s">
        <v>11</v>
      </c>
      <c r="D4" s="5" t="s">
        <v>43</v>
      </c>
    </row>
    <row r="5" spans="1:7">
      <c r="A5" t="s">
        <v>17</v>
      </c>
      <c r="B5" s="6">
        <v>60200</v>
      </c>
      <c r="C5" t="str">
        <f>_xlfn.XLOOKUP('Example 1'!A5,MD!D:D,MD!B:B,,0,)</f>
        <v>Utility</v>
      </c>
      <c r="D5" t="str">
        <f>_xlfn.XLOOKUP(A5,MD!D:D,MD!B:B,,0,-1)</f>
        <v>Game</v>
      </c>
      <c r="G5" s="11"/>
    </row>
    <row r="6" spans="1:7">
      <c r="A6" t="s">
        <v>39</v>
      </c>
      <c r="B6" s="6">
        <v>39627</v>
      </c>
      <c r="C6" t="str">
        <f>_xlfn.XLOOKUP('Example 1'!A6,MD!D:D,MD!B:B,,0,)</f>
        <v>Game</v>
      </c>
      <c r="D6" t="str">
        <f>_xlfn.XLOOKUP(A6,MD!D:D,MD!B:B,,0,-1)</f>
        <v>Game</v>
      </c>
      <c r="G6" s="11"/>
    </row>
    <row r="7" spans="1:7">
      <c r="A7" t="s">
        <v>5</v>
      </c>
      <c r="B7" s="6">
        <v>29727</v>
      </c>
      <c r="C7" t="str">
        <f>_xlfn.XLOOKUP('Example 1'!A7,MD!D:D,MD!B:B,,0,)</f>
        <v>Productivity</v>
      </c>
      <c r="D7" t="str">
        <f>_xlfn.XLOOKUP(A7,MD!D:D,MD!B:B,,0,-1)</f>
        <v>Productivity</v>
      </c>
      <c r="G7" s="11"/>
    </row>
    <row r="8" spans="1:7">
      <c r="A8" t="s">
        <v>18</v>
      </c>
      <c r="B8" s="6">
        <v>93668</v>
      </c>
      <c r="C8" t="str">
        <f>_xlfn.XLOOKUP('Example 1'!A8,MD!D:D,MD!B:B,,0,)</f>
        <v>Game</v>
      </c>
      <c r="D8" t="str">
        <f>_xlfn.XLOOKUP(A8,MD!D:D,MD!B:B,,0,-1)</f>
        <v>Utility</v>
      </c>
      <c r="G8" s="11"/>
    </row>
    <row r="9" spans="1:7">
      <c r="A9" t="s">
        <v>7</v>
      </c>
      <c r="B9" s="6">
        <v>134000</v>
      </c>
      <c r="C9" t="str">
        <f>_xlfn.XLOOKUP('Example 1'!A9,MD!D:D,MD!B:B,,0,)</f>
        <v>Productivity</v>
      </c>
      <c r="D9" t="str">
        <f>_xlfn.XLOOKUP(A9,MD!D:D,MD!B:B,,0,-1)</f>
        <v>Productivity</v>
      </c>
      <c r="G9" s="11"/>
    </row>
    <row r="10" spans="1:7">
      <c r="A10" t="s">
        <v>8</v>
      </c>
      <c r="B10" s="6">
        <v>34808</v>
      </c>
      <c r="C10" t="str">
        <f>_xlfn.XLOOKUP('Example 1'!A10,MD!D:D,MD!B:B,,0,)</f>
        <v>Productivity</v>
      </c>
      <c r="D10" t="str">
        <f>_xlfn.XLOOKUP(A10,MD!D:D,MD!B:B,,0,-1)</f>
        <v>Productivity</v>
      </c>
      <c r="G10" s="11"/>
    </row>
    <row r="11" spans="1:7">
      <c r="A11" t="s">
        <v>9</v>
      </c>
      <c r="B11" s="6">
        <v>134468</v>
      </c>
      <c r="C11" t="str">
        <f>_xlfn.XLOOKUP('Example 1'!A11,MD!D:D,MD!B:B,,0,)</f>
        <v>Productivity</v>
      </c>
      <c r="D11" t="str">
        <f>_xlfn.XLOOKUP(A11,MD!D:D,MD!B:B,,0,-1)</f>
        <v>Productivity</v>
      </c>
      <c r="G11" s="11"/>
    </row>
    <row r="12" spans="1:7">
      <c r="A12" t="s">
        <v>10</v>
      </c>
      <c r="B12" s="6">
        <v>45000</v>
      </c>
      <c r="C12" t="str">
        <f>_xlfn.XLOOKUP('Example 1'!A12,MD!D:D,MD!B:B,,0,)</f>
        <v>Productivity</v>
      </c>
      <c r="D12" t="str">
        <f>_xlfn.XLOOKUP(A12,MD!D:D,MD!B:B,,0,-1)</f>
        <v>Productivity</v>
      </c>
      <c r="G12" s="11"/>
    </row>
    <row r="13" spans="1:7">
      <c r="B13" s="6"/>
      <c r="D13" s="7"/>
      <c r="G1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246-5C82-463F-9231-4F6153D6ACD8}">
  <dimension ref="A1:E37"/>
  <sheetViews>
    <sheetView zoomScale="145" zoomScaleNormal="145" workbookViewId="0">
      <selection activeCell="A5" sqref="A5"/>
    </sheetView>
  </sheetViews>
  <sheetFormatPr defaultRowHeight="14.5"/>
  <cols>
    <col min="1" max="1" width="13.90625" customWidth="1"/>
    <col min="2" max="2" width="11" customWidth="1"/>
    <col min="3" max="3" width="12" customWidth="1"/>
    <col min="4" max="4" width="15.1796875" bestFit="1" customWidth="1"/>
    <col min="5" max="5" width="4.90625" customWidth="1"/>
  </cols>
  <sheetData>
    <row r="1" spans="1:5" ht="18.5">
      <c r="A1" s="8" t="s">
        <v>42</v>
      </c>
      <c r="B1" s="9"/>
      <c r="C1" s="9"/>
      <c r="D1" s="9"/>
      <c r="E1" s="9"/>
    </row>
    <row r="4" spans="1:5" ht="15" thickBot="1">
      <c r="A4" s="4" t="s">
        <v>41</v>
      </c>
      <c r="B4" s="4" t="s">
        <v>11</v>
      </c>
      <c r="C4" s="4" t="s">
        <v>2</v>
      </c>
      <c r="D4" s="4" t="s">
        <v>0</v>
      </c>
    </row>
    <row r="5" spans="1:5">
      <c r="A5" s="12">
        <v>36647</v>
      </c>
      <c r="B5" t="s">
        <v>19</v>
      </c>
      <c r="C5" t="s">
        <v>15</v>
      </c>
      <c r="D5" t="s">
        <v>33</v>
      </c>
    </row>
    <row r="6" spans="1:5">
      <c r="A6" s="12">
        <v>37135</v>
      </c>
      <c r="B6" t="s">
        <v>14</v>
      </c>
      <c r="C6" t="s">
        <v>16</v>
      </c>
      <c r="D6" t="s">
        <v>24</v>
      </c>
    </row>
    <row r="7" spans="1:5">
      <c r="A7" s="12">
        <v>37438</v>
      </c>
      <c r="B7" t="s">
        <v>19</v>
      </c>
      <c r="C7" t="s">
        <v>15</v>
      </c>
      <c r="D7" t="s">
        <v>34</v>
      </c>
    </row>
    <row r="8" spans="1:5">
      <c r="A8" s="12">
        <v>38200</v>
      </c>
      <c r="B8" t="s">
        <v>14</v>
      </c>
      <c r="C8" t="s">
        <v>13</v>
      </c>
      <c r="D8" t="s">
        <v>23</v>
      </c>
    </row>
    <row r="9" spans="1:5">
      <c r="A9" s="12">
        <v>38353</v>
      </c>
      <c r="B9" t="s">
        <v>14</v>
      </c>
      <c r="C9" t="s">
        <v>15</v>
      </c>
      <c r="D9" t="s">
        <v>6</v>
      </c>
    </row>
    <row r="10" spans="1:5">
      <c r="A10" s="12">
        <v>38353</v>
      </c>
      <c r="B10" t="s">
        <v>14</v>
      </c>
      <c r="C10" t="s">
        <v>15</v>
      </c>
      <c r="D10" t="s">
        <v>8</v>
      </c>
    </row>
    <row r="11" spans="1:5">
      <c r="A11" s="12">
        <v>38812</v>
      </c>
      <c r="B11" t="s">
        <v>19</v>
      </c>
      <c r="C11" t="s">
        <v>13</v>
      </c>
      <c r="D11" t="s">
        <v>25</v>
      </c>
    </row>
    <row r="12" spans="1:5">
      <c r="A12" s="12">
        <v>38961</v>
      </c>
      <c r="B12" t="s">
        <v>12</v>
      </c>
      <c r="C12" t="s">
        <v>13</v>
      </c>
      <c r="D12" t="s">
        <v>3</v>
      </c>
    </row>
    <row r="13" spans="1:5">
      <c r="A13" s="12">
        <v>38961</v>
      </c>
      <c r="B13" t="s">
        <v>19</v>
      </c>
      <c r="C13" t="s">
        <v>15</v>
      </c>
      <c r="D13" t="s">
        <v>27</v>
      </c>
    </row>
    <row r="14" spans="1:5">
      <c r="A14" s="12">
        <v>39814</v>
      </c>
      <c r="B14" t="s">
        <v>14</v>
      </c>
      <c r="C14" t="s">
        <v>13</v>
      </c>
      <c r="D14" t="s">
        <v>5</v>
      </c>
    </row>
    <row r="15" spans="1:5">
      <c r="A15" s="12">
        <v>39814</v>
      </c>
      <c r="B15" t="s">
        <v>12</v>
      </c>
      <c r="C15" t="s">
        <v>13</v>
      </c>
      <c r="D15" t="s">
        <v>31</v>
      </c>
    </row>
    <row r="16" spans="1:5">
      <c r="A16" s="12">
        <v>39814</v>
      </c>
      <c r="B16" t="s">
        <v>12</v>
      </c>
      <c r="C16" t="s">
        <v>15</v>
      </c>
      <c r="D16" t="s">
        <v>36</v>
      </c>
    </row>
    <row r="17" spans="1:4">
      <c r="A17" s="12">
        <v>39828</v>
      </c>
      <c r="B17" t="s">
        <v>12</v>
      </c>
      <c r="C17" t="s">
        <v>15</v>
      </c>
      <c r="D17" t="s">
        <v>28</v>
      </c>
    </row>
    <row r="18" spans="1:4">
      <c r="A18" s="12">
        <v>40148</v>
      </c>
      <c r="B18" t="s">
        <v>14</v>
      </c>
      <c r="C18" t="s">
        <v>15</v>
      </c>
      <c r="D18" t="s">
        <v>4</v>
      </c>
    </row>
    <row r="19" spans="1:4">
      <c r="A19" s="12">
        <v>40374</v>
      </c>
      <c r="B19" t="s">
        <v>19</v>
      </c>
      <c r="C19" t="s">
        <v>16</v>
      </c>
      <c r="D19" t="s">
        <v>26</v>
      </c>
    </row>
    <row r="20" spans="1:4">
      <c r="A20" s="12">
        <v>40787</v>
      </c>
      <c r="B20" t="s">
        <v>14</v>
      </c>
      <c r="C20" t="s">
        <v>13</v>
      </c>
      <c r="D20" t="s">
        <v>7</v>
      </c>
    </row>
    <row r="21" spans="1:4">
      <c r="A21" s="12">
        <v>40817</v>
      </c>
      <c r="B21" t="s">
        <v>19</v>
      </c>
      <c r="C21" t="s">
        <v>15</v>
      </c>
      <c r="D21" t="s">
        <v>18</v>
      </c>
    </row>
    <row r="22" spans="1:4">
      <c r="A22" s="12">
        <v>40817</v>
      </c>
      <c r="B22" t="s">
        <v>12</v>
      </c>
      <c r="C22" t="s">
        <v>16</v>
      </c>
      <c r="D22" t="s">
        <v>20</v>
      </c>
    </row>
    <row r="23" spans="1:4">
      <c r="A23" s="12">
        <v>41244</v>
      </c>
      <c r="B23" t="s">
        <v>14</v>
      </c>
      <c r="C23" t="s">
        <v>13</v>
      </c>
      <c r="D23" t="s">
        <v>21</v>
      </c>
    </row>
    <row r="24" spans="1:4">
      <c r="A24" s="12">
        <v>41671</v>
      </c>
      <c r="B24" t="s">
        <v>12</v>
      </c>
      <c r="C24" t="s">
        <v>15</v>
      </c>
      <c r="D24" s="13" t="s">
        <v>17</v>
      </c>
    </row>
    <row r="25" spans="1:4">
      <c r="A25" s="12">
        <v>42005</v>
      </c>
      <c r="B25" t="s">
        <v>19</v>
      </c>
      <c r="C25" t="s">
        <v>15</v>
      </c>
      <c r="D25" t="s">
        <v>39</v>
      </c>
    </row>
    <row r="26" spans="1:4">
      <c r="A26" s="12">
        <v>42224</v>
      </c>
      <c r="B26" t="s">
        <v>12</v>
      </c>
      <c r="C26" t="s">
        <v>16</v>
      </c>
      <c r="D26" t="s">
        <v>38</v>
      </c>
    </row>
    <row r="27" spans="1:4">
      <c r="A27" s="12">
        <v>42552</v>
      </c>
      <c r="B27" t="s">
        <v>12</v>
      </c>
      <c r="C27" t="s">
        <v>13</v>
      </c>
      <c r="D27" t="s">
        <v>37</v>
      </c>
    </row>
    <row r="28" spans="1:4">
      <c r="A28" s="12">
        <v>42614</v>
      </c>
      <c r="B28" t="s">
        <v>19</v>
      </c>
      <c r="C28" t="s">
        <v>15</v>
      </c>
      <c r="D28" t="s">
        <v>29</v>
      </c>
    </row>
    <row r="29" spans="1:4">
      <c r="A29" s="12">
        <v>42675</v>
      </c>
      <c r="B29" t="s">
        <v>12</v>
      </c>
      <c r="C29" t="s">
        <v>13</v>
      </c>
      <c r="D29" t="s">
        <v>35</v>
      </c>
    </row>
    <row r="30" spans="1:4">
      <c r="A30" s="12">
        <v>42795</v>
      </c>
      <c r="B30" t="s">
        <v>14</v>
      </c>
      <c r="C30" t="s">
        <v>15</v>
      </c>
      <c r="D30" t="s">
        <v>9</v>
      </c>
    </row>
    <row r="31" spans="1:4">
      <c r="A31" s="12">
        <v>43070</v>
      </c>
      <c r="B31" t="s">
        <v>12</v>
      </c>
      <c r="C31" t="s">
        <v>15</v>
      </c>
      <c r="D31" t="s">
        <v>18</v>
      </c>
    </row>
    <row r="32" spans="1:4">
      <c r="A32" s="12">
        <v>43101</v>
      </c>
      <c r="B32" t="s">
        <v>19</v>
      </c>
      <c r="C32" t="s">
        <v>15</v>
      </c>
      <c r="D32" s="13" t="s">
        <v>17</v>
      </c>
    </row>
    <row r="33" spans="1:4">
      <c r="A33" s="12">
        <v>43367</v>
      </c>
      <c r="B33" t="s">
        <v>19</v>
      </c>
      <c r="C33" t="s">
        <v>13</v>
      </c>
      <c r="D33" t="s">
        <v>40</v>
      </c>
    </row>
    <row r="34" spans="1:4">
      <c r="A34" s="12">
        <v>43374</v>
      </c>
      <c r="B34" t="s">
        <v>14</v>
      </c>
      <c r="C34" t="s">
        <v>16</v>
      </c>
      <c r="D34" t="s">
        <v>22</v>
      </c>
    </row>
    <row r="35" spans="1:4">
      <c r="A35" s="12">
        <v>43466</v>
      </c>
      <c r="B35" t="s">
        <v>19</v>
      </c>
      <c r="C35" t="s">
        <v>13</v>
      </c>
      <c r="D35" t="s">
        <v>30</v>
      </c>
    </row>
    <row r="36" spans="1:4">
      <c r="A36" s="12">
        <v>43497</v>
      </c>
      <c r="B36" t="s">
        <v>14</v>
      </c>
      <c r="C36" t="s">
        <v>16</v>
      </c>
      <c r="D36" t="s">
        <v>10</v>
      </c>
    </row>
    <row r="37" spans="1:4">
      <c r="A37" s="12">
        <v>43497</v>
      </c>
      <c r="B37" t="s">
        <v>12</v>
      </c>
      <c r="C37" t="s">
        <v>13</v>
      </c>
      <c r="D3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333-4526-40B1-A687-DFA04B689DF3}">
  <dimension ref="A1:F13"/>
  <sheetViews>
    <sheetView tabSelected="1" zoomScale="134" zoomScaleNormal="190" workbookViewId="0">
      <selection activeCell="F9" sqref="F9"/>
    </sheetView>
  </sheetViews>
  <sheetFormatPr defaultRowHeight="14.5"/>
  <cols>
    <col min="1" max="1" width="18.54296875" customWidth="1"/>
    <col min="2" max="2" width="17.453125" customWidth="1"/>
    <col min="3" max="3" width="9.54296875" bestFit="1" customWidth="1"/>
    <col min="4" max="4" width="14.90625" bestFit="1" customWidth="1"/>
  </cols>
  <sheetData>
    <row r="1" spans="1:6">
      <c r="A1" s="14" t="s">
        <v>46</v>
      </c>
      <c r="F1" s="14" t="s">
        <v>85</v>
      </c>
    </row>
    <row r="2" spans="1:6">
      <c r="F2" t="s">
        <v>87</v>
      </c>
    </row>
    <row r="3" spans="1:6" ht="15" thickBot="1">
      <c r="A3" s="15" t="s">
        <v>47</v>
      </c>
      <c r="B3" s="15" t="s">
        <v>48</v>
      </c>
      <c r="C3" s="15" t="s">
        <v>49</v>
      </c>
      <c r="D3" s="16" t="s">
        <v>50</v>
      </c>
      <c r="F3" t="s">
        <v>88</v>
      </c>
    </row>
    <row r="4" spans="1:6" ht="15" thickTop="1">
      <c r="A4" t="s">
        <v>3</v>
      </c>
      <c r="B4" s="17" t="str">
        <f>_xlfn.XLOOKUP(A4,Master!C:C,Master!A:A,)</f>
        <v>ID4</v>
      </c>
      <c r="C4" s="11" cm="1">
        <f t="array" ref="C4:D4">_xlfn.XLOOKUP('Example 2'!B4,B_Master!A:A,B_Master!B:C,"Not Found",0,)</f>
        <v>0.24</v>
      </c>
      <c r="D4" t="str">
        <v>Gary Miller</v>
      </c>
    </row>
    <row r="5" spans="1:6">
      <c r="A5" t="s">
        <v>4</v>
      </c>
      <c r="B5" s="17" t="str">
        <f>_xlfn.XLOOKUP(A5,Master!C:C,Master!A:A,)</f>
        <v>ID18</v>
      </c>
      <c r="C5" s="11" t="str" cm="1">
        <f t="array" ref="C5">_xlfn.XLOOKUP('Example 2'!B5,B_Master!A:A,B_Master!B:C,"Not Found",0,)</f>
        <v>Not Found</v>
      </c>
    </row>
    <row r="6" spans="1:6">
      <c r="A6" t="s">
        <v>5</v>
      </c>
      <c r="B6" s="17" t="str">
        <f>_xlfn.XLOOKUP(A6,Master!C:C,Master!A:A,)</f>
        <v>ID12</v>
      </c>
      <c r="C6" s="11" cm="1">
        <f t="array" ref="C6:D6">_xlfn.XLOOKUP('Example 2'!B6,B_Master!A:A,B_Master!B:C,"Not Found",0,)</f>
        <v>0.14000000000000001</v>
      </c>
      <c r="D6" t="str">
        <v>Richard Elliot</v>
      </c>
    </row>
    <row r="7" spans="1:6">
      <c r="A7" t="s">
        <v>6</v>
      </c>
      <c r="B7" s="17" t="str">
        <f>_xlfn.XLOOKUP(A7,Master!C:C,Master!A:A,)</f>
        <v>ID8</v>
      </c>
      <c r="C7" s="11" cm="1">
        <f t="array" ref="C7:D7">_xlfn.XLOOKUP('Example 2'!B7,B_Master!A:A,B_Master!B:C,"Not Found",0,)</f>
        <v>0.23</v>
      </c>
      <c r="D7" t="str">
        <v>Robert Spear</v>
      </c>
    </row>
    <row r="8" spans="1:6">
      <c r="A8" t="s">
        <v>7</v>
      </c>
      <c r="B8" s="17" t="str">
        <f>_xlfn.XLOOKUP(A8,Master!C:C,Master!A:A,)</f>
        <v>ID20</v>
      </c>
      <c r="C8" s="11" cm="1">
        <f t="array" ref="C8:D8">_xlfn.XLOOKUP('Example 2'!B8,B_Master!A:A,B_Master!B:C,"Not Found",0,)</f>
        <v>0.25</v>
      </c>
      <c r="D8" t="str">
        <v>Roger Mun</v>
      </c>
    </row>
    <row r="9" spans="1:6">
      <c r="A9" t="s">
        <v>8</v>
      </c>
      <c r="B9" s="17" t="str">
        <f>_xlfn.XLOOKUP(A9,Master!C:C,Master!A:A,)</f>
        <v>ID24</v>
      </c>
      <c r="C9" s="11" cm="1">
        <f t="array" ref="C9:D9">_xlfn.XLOOKUP('Example 2'!B9,B_Master!A:A,B_Master!B:C,"Not Found",0,)</f>
        <v>0.1</v>
      </c>
      <c r="D9" t="str">
        <v>Paul Garza</v>
      </c>
    </row>
    <row r="10" spans="1:6">
      <c r="A10" t="s">
        <v>9</v>
      </c>
      <c r="B10" s="17" t="str">
        <f>_xlfn.XLOOKUP(A10,Master!C:C,Master!A:A,)</f>
        <v>ID23</v>
      </c>
      <c r="C10" s="11" t="str" cm="1">
        <f t="array" ref="C10">_xlfn.XLOOKUP('Example 2'!B10,B_Master!A:A,B_Master!B:C,"Not Found",0,)</f>
        <v>Not Found</v>
      </c>
    </row>
    <row r="11" spans="1:6">
      <c r="A11" t="s">
        <v>10</v>
      </c>
      <c r="B11" s="17" t="str">
        <f>_xlfn.XLOOKUP(A11,Master!C:C,Master!A:A,)</f>
        <v>ID3</v>
      </c>
      <c r="C11" s="11" cm="1">
        <f t="array" ref="C11:D11">_xlfn.XLOOKUP('Example 2'!B11,B_Master!A:A,B_Master!B:C,"Not Found",0,)</f>
        <v>0.1</v>
      </c>
      <c r="D11" t="str">
        <v>Natalie Porter</v>
      </c>
    </row>
    <row r="12" spans="1:6">
      <c r="A12" t="s">
        <v>17</v>
      </c>
      <c r="B12" s="17" t="str">
        <f>_xlfn.XLOOKUP(A12,Master!C:C,Master!A:A,)</f>
        <v>ID13</v>
      </c>
      <c r="C12" s="11" cm="1">
        <f t="array" ref="C12:D12">_xlfn.XLOOKUP('Example 2'!B12,B_Master!A:A,B_Master!B:C,"Not Found",0,)</f>
        <v>0.08</v>
      </c>
      <c r="D12" t="str">
        <v>Kim West</v>
      </c>
    </row>
    <row r="13" spans="1:6">
      <c r="A13" t="s">
        <v>18</v>
      </c>
      <c r="B13" s="17" t="str">
        <f>_xlfn.XLOOKUP(A13,Master!C:C,Master!A:A,)</f>
        <v>ID7</v>
      </c>
      <c r="C13" s="11" cm="1">
        <f t="array" ref="C13:D13">_xlfn.XLOOKUP('Example 2'!B13,B_Master!A:A,B_Master!B:C,"Not Found",0,)</f>
        <v>0.27</v>
      </c>
      <c r="D13" t="str">
        <v>Stevie Bridge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A16-C041-4E3B-ABC1-4A75AF648B89}">
  <dimension ref="A2:C33"/>
  <sheetViews>
    <sheetView zoomScale="130" zoomScaleNormal="130" workbookViewId="0">
      <selection activeCell="B6" sqref="B6"/>
    </sheetView>
  </sheetViews>
  <sheetFormatPr defaultRowHeight="14.5"/>
  <cols>
    <col min="1" max="1" width="11" bestFit="1" customWidth="1"/>
    <col min="2" max="2" width="14.1796875" customWidth="1"/>
    <col min="3" max="3" width="15.453125" customWidth="1"/>
  </cols>
  <sheetData>
    <row r="2" spans="1:3" ht="15" thickBot="1">
      <c r="A2" s="15" t="s">
        <v>51</v>
      </c>
      <c r="B2" s="15" t="s">
        <v>2</v>
      </c>
      <c r="C2" s="15" t="s">
        <v>47</v>
      </c>
    </row>
    <row r="3" spans="1:3" ht="15" thickTop="1">
      <c r="A3" t="s">
        <v>52</v>
      </c>
      <c r="B3" t="s">
        <v>15</v>
      </c>
      <c r="C3" t="s">
        <v>4</v>
      </c>
    </row>
    <row r="4" spans="1:3">
      <c r="A4" t="s">
        <v>53</v>
      </c>
      <c r="B4" t="s">
        <v>15</v>
      </c>
      <c r="C4" t="s">
        <v>6</v>
      </c>
    </row>
    <row r="5" spans="1:3">
      <c r="A5" t="s">
        <v>54</v>
      </c>
      <c r="B5" t="s">
        <v>15</v>
      </c>
      <c r="C5" t="s">
        <v>8</v>
      </c>
    </row>
    <row r="6" spans="1:3">
      <c r="A6" t="s">
        <v>55</v>
      </c>
      <c r="B6" t="s">
        <v>15</v>
      </c>
      <c r="C6" t="s">
        <v>9</v>
      </c>
    </row>
    <row r="7" spans="1:3">
      <c r="A7" t="s">
        <v>56</v>
      </c>
      <c r="B7" t="s">
        <v>15</v>
      </c>
      <c r="C7" t="s">
        <v>17</v>
      </c>
    </row>
    <row r="8" spans="1:3">
      <c r="A8" t="s">
        <v>57</v>
      </c>
      <c r="B8" t="s">
        <v>15</v>
      </c>
      <c r="C8" t="s">
        <v>18</v>
      </c>
    </row>
    <row r="9" spans="1:3">
      <c r="A9" t="s">
        <v>58</v>
      </c>
      <c r="B9" t="s">
        <v>15</v>
      </c>
      <c r="C9" t="s">
        <v>29</v>
      </c>
    </row>
    <row r="10" spans="1:3">
      <c r="A10" t="s">
        <v>59</v>
      </c>
      <c r="B10" t="s">
        <v>15</v>
      </c>
      <c r="C10" t="s">
        <v>27</v>
      </c>
    </row>
    <row r="11" spans="1:3">
      <c r="A11" t="s">
        <v>60</v>
      </c>
      <c r="B11" t="s">
        <v>15</v>
      </c>
      <c r="C11" t="s">
        <v>28</v>
      </c>
    </row>
    <row r="12" spans="1:3">
      <c r="A12" t="s">
        <v>61</v>
      </c>
      <c r="B12" t="s">
        <v>15</v>
      </c>
      <c r="C12" t="s">
        <v>33</v>
      </c>
    </row>
    <row r="13" spans="1:3">
      <c r="A13" t="s">
        <v>62</v>
      </c>
      <c r="B13" t="s">
        <v>15</v>
      </c>
      <c r="C13" t="s">
        <v>34</v>
      </c>
    </row>
    <row r="14" spans="1:3">
      <c r="A14" t="s">
        <v>63</v>
      </c>
      <c r="B14" t="s">
        <v>15</v>
      </c>
      <c r="C14" t="s">
        <v>36</v>
      </c>
    </row>
    <row r="15" spans="1:3">
      <c r="A15" t="s">
        <v>64</v>
      </c>
      <c r="B15" t="s">
        <v>15</v>
      </c>
      <c r="C15" t="s">
        <v>39</v>
      </c>
    </row>
    <row r="16" spans="1:3">
      <c r="A16" t="s">
        <v>65</v>
      </c>
      <c r="B16" t="s">
        <v>16</v>
      </c>
      <c r="C16" t="s">
        <v>10</v>
      </c>
    </row>
    <row r="17" spans="1:3">
      <c r="A17" t="s">
        <v>66</v>
      </c>
      <c r="B17" t="s">
        <v>16</v>
      </c>
      <c r="C17" t="s">
        <v>20</v>
      </c>
    </row>
    <row r="18" spans="1:3">
      <c r="A18" t="s">
        <v>67</v>
      </c>
      <c r="B18" t="s">
        <v>16</v>
      </c>
      <c r="C18" t="s">
        <v>22</v>
      </c>
    </row>
    <row r="19" spans="1:3">
      <c r="A19" t="s">
        <v>68</v>
      </c>
      <c r="B19" t="s">
        <v>16</v>
      </c>
      <c r="C19" t="s">
        <v>24</v>
      </c>
    </row>
    <row r="20" spans="1:3">
      <c r="A20" t="s">
        <v>69</v>
      </c>
      <c r="B20" t="s">
        <v>16</v>
      </c>
      <c r="C20" t="s">
        <v>26</v>
      </c>
    </row>
    <row r="21" spans="1:3">
      <c r="A21" t="s">
        <v>70</v>
      </c>
      <c r="B21" t="s">
        <v>16</v>
      </c>
      <c r="C21" t="s">
        <v>38</v>
      </c>
    </row>
    <row r="22" spans="1:3">
      <c r="A22" t="s">
        <v>71</v>
      </c>
      <c r="B22" t="s">
        <v>13</v>
      </c>
      <c r="C22" t="s">
        <v>3</v>
      </c>
    </row>
    <row r="23" spans="1:3">
      <c r="A23" t="s">
        <v>72</v>
      </c>
      <c r="B23" t="s">
        <v>13</v>
      </c>
      <c r="C23" t="s">
        <v>5</v>
      </c>
    </row>
    <row r="24" spans="1:3">
      <c r="A24" t="s">
        <v>73</v>
      </c>
      <c r="B24" t="s">
        <v>13</v>
      </c>
      <c r="C24" t="s">
        <v>7</v>
      </c>
    </row>
    <row r="25" spans="1:3">
      <c r="A25" t="s">
        <v>74</v>
      </c>
      <c r="B25" t="s">
        <v>13</v>
      </c>
      <c r="C25" t="s">
        <v>23</v>
      </c>
    </row>
    <row r="26" spans="1:3">
      <c r="A26" t="s">
        <v>75</v>
      </c>
      <c r="B26" t="s">
        <v>13</v>
      </c>
      <c r="C26" t="s">
        <v>25</v>
      </c>
    </row>
    <row r="27" spans="1:3">
      <c r="A27" t="s">
        <v>76</v>
      </c>
      <c r="B27" t="s">
        <v>13</v>
      </c>
      <c r="C27" t="s">
        <v>21</v>
      </c>
    </row>
    <row r="28" spans="1:3">
      <c r="A28" t="s">
        <v>77</v>
      </c>
      <c r="B28" t="s">
        <v>13</v>
      </c>
      <c r="C28" t="s">
        <v>30</v>
      </c>
    </row>
    <row r="29" spans="1:3">
      <c r="A29" t="s">
        <v>78</v>
      </c>
      <c r="B29" t="s">
        <v>13</v>
      </c>
      <c r="C29" t="s">
        <v>31</v>
      </c>
    </row>
    <row r="30" spans="1:3">
      <c r="A30" t="s">
        <v>79</v>
      </c>
      <c r="B30" t="s">
        <v>13</v>
      </c>
      <c r="C30" t="s">
        <v>32</v>
      </c>
    </row>
    <row r="31" spans="1:3">
      <c r="A31" t="s">
        <v>80</v>
      </c>
      <c r="B31" t="s">
        <v>13</v>
      </c>
      <c r="C31" t="s">
        <v>35</v>
      </c>
    </row>
    <row r="32" spans="1:3">
      <c r="A32" t="s">
        <v>81</v>
      </c>
      <c r="B32" t="s">
        <v>13</v>
      </c>
      <c r="C32" t="s">
        <v>37</v>
      </c>
    </row>
    <row r="33" spans="1:3">
      <c r="A33" t="s">
        <v>82</v>
      </c>
      <c r="B33" t="s">
        <v>13</v>
      </c>
      <c r="C3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AA1D-B645-44A6-AC63-2E2C3508178F}">
  <dimension ref="A1:C28"/>
  <sheetViews>
    <sheetView zoomScale="175" zoomScaleNormal="175" workbookViewId="0">
      <selection activeCell="A2" sqref="A2"/>
    </sheetView>
  </sheetViews>
  <sheetFormatPr defaultRowHeight="14.5"/>
  <cols>
    <col min="1" max="1" width="9.54296875" customWidth="1"/>
    <col min="2" max="2" width="7.6328125" customWidth="1"/>
    <col min="3" max="3" width="17.90625" customWidth="1"/>
  </cols>
  <sheetData>
    <row r="1" spans="1:3">
      <c r="A1" s="14" t="s">
        <v>84</v>
      </c>
    </row>
    <row r="2" spans="1:3">
      <c r="A2" s="14"/>
    </row>
    <row r="3" spans="1:3" ht="15" thickBot="1">
      <c r="A3" s="16" t="s">
        <v>83</v>
      </c>
      <c r="B3" s="15" t="s">
        <v>49</v>
      </c>
      <c r="C3" s="16" t="s">
        <v>50</v>
      </c>
    </row>
    <row r="4" spans="1:3" ht="15" thickTop="1">
      <c r="A4" t="s">
        <v>57</v>
      </c>
      <c r="B4" s="10">
        <v>0.27</v>
      </c>
      <c r="C4" t="s">
        <v>18</v>
      </c>
    </row>
    <row r="5" spans="1:3">
      <c r="A5" t="s">
        <v>73</v>
      </c>
      <c r="B5" s="10">
        <v>0.25</v>
      </c>
      <c r="C5" t="s">
        <v>7</v>
      </c>
    </row>
    <row r="6" spans="1:3">
      <c r="A6" t="s">
        <v>75</v>
      </c>
      <c r="B6" s="10">
        <v>0.25</v>
      </c>
      <c r="C6" t="s">
        <v>25</v>
      </c>
    </row>
    <row r="7" spans="1:3">
      <c r="A7" t="s">
        <v>80</v>
      </c>
      <c r="B7" s="10">
        <v>0.25</v>
      </c>
      <c r="C7" t="s">
        <v>35</v>
      </c>
    </row>
    <row r="8" spans="1:3">
      <c r="A8" t="s">
        <v>64</v>
      </c>
      <c r="B8" s="10">
        <v>0.25</v>
      </c>
      <c r="C8" t="s">
        <v>39</v>
      </c>
    </row>
    <row r="9" spans="1:3">
      <c r="A9" t="s">
        <v>71</v>
      </c>
      <c r="B9" s="10">
        <v>0.24</v>
      </c>
      <c r="C9" t="s">
        <v>3</v>
      </c>
    </row>
    <row r="10" spans="1:3">
      <c r="A10" t="s">
        <v>63</v>
      </c>
      <c r="B10" s="10">
        <v>0.24</v>
      </c>
      <c r="C10" t="s">
        <v>36</v>
      </c>
    </row>
    <row r="11" spans="1:3">
      <c r="A11" t="s">
        <v>53</v>
      </c>
      <c r="B11" s="10">
        <v>0.23</v>
      </c>
      <c r="C11" t="s">
        <v>6</v>
      </c>
    </row>
    <row r="12" spans="1:3">
      <c r="A12" t="s">
        <v>61</v>
      </c>
      <c r="B12" s="10">
        <v>0.23</v>
      </c>
      <c r="C12" t="s">
        <v>33</v>
      </c>
    </row>
    <row r="13" spans="1:3">
      <c r="A13" t="s">
        <v>76</v>
      </c>
      <c r="B13" s="10">
        <v>0.21</v>
      </c>
      <c r="C13" t="s">
        <v>21</v>
      </c>
    </row>
    <row r="14" spans="1:3">
      <c r="A14" t="s">
        <v>79</v>
      </c>
      <c r="B14" s="10">
        <v>0.2</v>
      </c>
      <c r="C14" t="s">
        <v>32</v>
      </c>
    </row>
    <row r="15" spans="1:3">
      <c r="A15" t="s">
        <v>69</v>
      </c>
      <c r="B15" s="10">
        <v>0.19</v>
      </c>
      <c r="C15" t="s">
        <v>26</v>
      </c>
    </row>
    <row r="16" spans="1:3">
      <c r="A16" t="s">
        <v>66</v>
      </c>
      <c r="B16" s="10">
        <v>0.18</v>
      </c>
      <c r="C16" t="s">
        <v>20</v>
      </c>
    </row>
    <row r="17" spans="1:3">
      <c r="A17" t="s">
        <v>70</v>
      </c>
      <c r="B17" s="10">
        <v>0.18</v>
      </c>
      <c r="C17" t="s">
        <v>38</v>
      </c>
    </row>
    <row r="18" spans="1:3">
      <c r="A18" t="s">
        <v>77</v>
      </c>
      <c r="B18" s="10">
        <v>0.17</v>
      </c>
      <c r="C18" t="s">
        <v>30</v>
      </c>
    </row>
    <row r="19" spans="1:3">
      <c r="A19" t="s">
        <v>72</v>
      </c>
      <c r="B19" s="10">
        <v>0.14000000000000001</v>
      </c>
      <c r="C19" t="s">
        <v>5</v>
      </c>
    </row>
    <row r="20" spans="1:3">
      <c r="A20" t="s">
        <v>58</v>
      </c>
      <c r="B20" s="10">
        <v>0.14000000000000001</v>
      </c>
      <c r="C20" t="s">
        <v>29</v>
      </c>
    </row>
    <row r="21" spans="1:3">
      <c r="A21" t="s">
        <v>54</v>
      </c>
      <c r="B21" s="10">
        <v>0.1</v>
      </c>
      <c r="C21" t="s">
        <v>8</v>
      </c>
    </row>
    <row r="22" spans="1:3">
      <c r="A22" t="s">
        <v>65</v>
      </c>
      <c r="B22" s="10">
        <v>0.1</v>
      </c>
      <c r="C22" t="s">
        <v>10</v>
      </c>
    </row>
    <row r="23" spans="1:3">
      <c r="A23" t="s">
        <v>68</v>
      </c>
      <c r="B23" s="10">
        <v>0.09</v>
      </c>
      <c r="C23" t="s">
        <v>24</v>
      </c>
    </row>
    <row r="24" spans="1:3">
      <c r="A24" t="s">
        <v>59</v>
      </c>
      <c r="B24" s="10">
        <v>0.09</v>
      </c>
      <c r="C24" t="s">
        <v>27</v>
      </c>
    </row>
    <row r="25" spans="1:3">
      <c r="A25" t="s">
        <v>56</v>
      </c>
      <c r="B25" s="10">
        <v>0.08</v>
      </c>
      <c r="C25" t="s">
        <v>17</v>
      </c>
    </row>
    <row r="26" spans="1:3">
      <c r="A26" t="s">
        <v>60</v>
      </c>
      <c r="B26" s="10">
        <v>0.06</v>
      </c>
      <c r="C26" t="s">
        <v>28</v>
      </c>
    </row>
    <row r="27" spans="1:3">
      <c r="A27" t="s">
        <v>62</v>
      </c>
      <c r="B27" s="10">
        <v>0.06</v>
      </c>
      <c r="C27" t="s">
        <v>34</v>
      </c>
    </row>
    <row r="28" spans="1:3">
      <c r="A28" t="s">
        <v>82</v>
      </c>
      <c r="B28" s="10">
        <v>0.06</v>
      </c>
      <c r="C2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MD</vt:lpstr>
      <vt:lpstr>Example 2</vt:lpstr>
      <vt:lpstr>Master</vt:lpstr>
      <vt:lpstr>B_Master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DIGITAL</cp:lastModifiedBy>
  <dcterms:created xsi:type="dcterms:W3CDTF">2019-09-06T08:52:22Z</dcterms:created>
  <dcterms:modified xsi:type="dcterms:W3CDTF">2026-08-07T05:17:42Z</dcterms:modified>
</cp:coreProperties>
</file>