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5\"/>
    </mc:Choice>
  </mc:AlternateContent>
  <xr:revisionPtr revIDLastSave="0" documentId="8_{60BD81EE-3A4D-40D4-95C9-F3D06E90FF86}" xr6:coauthVersionLast="47" xr6:coauthVersionMax="47" xr10:uidLastSave="{00000000-0000-0000-0000-000000000000}"/>
  <bookViews>
    <workbookView xWindow="-110" yWindow="-110" windowWidth="19420" windowHeight="10420" xr2:uid="{F9FC5BC7-6477-489B-BA7B-97742738DA98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5" i="1" s="1"/>
  <c r="D3" i="1"/>
  <c r="D5" i="1" s="1"/>
  <c r="E3" i="1"/>
  <c r="E5" i="1" s="1"/>
  <c r="F3" i="1"/>
  <c r="G3" i="1"/>
  <c r="H3" i="1"/>
  <c r="H5" i="1" s="1"/>
  <c r="I3" i="1"/>
  <c r="J3" i="1"/>
  <c r="K3" i="1"/>
  <c r="K5" i="1" s="1"/>
  <c r="L3" i="1"/>
  <c r="L5" i="1" s="1"/>
  <c r="M3" i="1"/>
  <c r="M5" i="1" s="1"/>
  <c r="N3" i="1"/>
  <c r="O3" i="1"/>
  <c r="C4" i="1"/>
  <c r="D4" i="1"/>
  <c r="E4" i="1"/>
  <c r="F4" i="1"/>
  <c r="F5" i="1" s="1"/>
  <c r="G4" i="1"/>
  <c r="H4" i="1"/>
  <c r="I4" i="1"/>
  <c r="J4" i="1"/>
  <c r="K4" i="1"/>
  <c r="L4" i="1"/>
  <c r="M4" i="1"/>
  <c r="N4" i="1"/>
  <c r="N5" i="1" s="1"/>
  <c r="O4" i="1"/>
  <c r="G5" i="1"/>
  <c r="I5" i="1"/>
  <c r="J5" i="1"/>
  <c r="O5" i="1"/>
  <c r="C6" i="1"/>
  <c r="D6" i="1"/>
  <c r="D9" i="1" s="1"/>
  <c r="E6" i="1"/>
  <c r="F6" i="1"/>
  <c r="F9" i="1" s="1"/>
  <c r="G6" i="1"/>
  <c r="H6" i="1"/>
  <c r="H9" i="1" s="1"/>
  <c r="I6" i="1"/>
  <c r="J6" i="1"/>
  <c r="J9" i="1" s="1"/>
  <c r="K6" i="1"/>
  <c r="L6" i="1"/>
  <c r="L9" i="1" s="1"/>
  <c r="M6" i="1"/>
  <c r="N6" i="1"/>
  <c r="N9" i="1" s="1"/>
  <c r="O6" i="1"/>
  <c r="C7" i="1"/>
  <c r="D7" i="1"/>
  <c r="E7" i="1"/>
  <c r="F7" i="1"/>
  <c r="G7" i="1"/>
  <c r="G9" i="1" s="1"/>
  <c r="H7" i="1"/>
  <c r="I7" i="1"/>
  <c r="I9" i="1" s="1"/>
  <c r="J7" i="1"/>
  <c r="K7" i="1"/>
  <c r="L7" i="1"/>
  <c r="M7" i="1"/>
  <c r="N7" i="1"/>
  <c r="O7" i="1"/>
  <c r="O9" i="1" s="1"/>
  <c r="C8" i="1"/>
  <c r="D8" i="1"/>
  <c r="E8" i="1"/>
  <c r="F8" i="1"/>
  <c r="G8" i="1"/>
  <c r="H8" i="1"/>
  <c r="I8" i="1"/>
  <c r="J8" i="1"/>
  <c r="K8" i="1"/>
  <c r="L8" i="1"/>
  <c r="M8" i="1"/>
  <c r="N8" i="1"/>
  <c r="O8" i="1"/>
  <c r="C9" i="1"/>
  <c r="E9" i="1"/>
  <c r="K9" i="1"/>
  <c r="M9" i="1"/>
  <c r="C10" i="1"/>
  <c r="D10" i="1"/>
  <c r="E10" i="1"/>
  <c r="E12" i="1" s="1"/>
  <c r="F10" i="1"/>
  <c r="G10" i="1"/>
  <c r="H10" i="1"/>
  <c r="H12" i="1" s="1"/>
  <c r="I10" i="1"/>
  <c r="I12" i="1" s="1"/>
  <c r="J10" i="1"/>
  <c r="J12" i="1" s="1"/>
  <c r="K10" i="1"/>
  <c r="L10" i="1"/>
  <c r="M10" i="1"/>
  <c r="M12" i="1" s="1"/>
  <c r="N10" i="1"/>
  <c r="O10" i="1"/>
  <c r="C11" i="1"/>
  <c r="C12" i="1" s="1"/>
  <c r="D11" i="1"/>
  <c r="E11" i="1"/>
  <c r="F11" i="1"/>
  <c r="G11" i="1"/>
  <c r="H11" i="1"/>
  <c r="I11" i="1"/>
  <c r="J11" i="1"/>
  <c r="K11" i="1"/>
  <c r="K12" i="1" s="1"/>
  <c r="L11" i="1"/>
  <c r="M11" i="1"/>
  <c r="N11" i="1"/>
  <c r="O11" i="1"/>
  <c r="D12" i="1"/>
  <c r="F12" i="1"/>
  <c r="G12" i="1"/>
  <c r="L12" i="1"/>
  <c r="N12" i="1"/>
  <c r="O12" i="1"/>
  <c r="C13" i="1"/>
  <c r="C15" i="1" s="1"/>
  <c r="D13" i="1"/>
  <c r="E13" i="1"/>
  <c r="F13" i="1"/>
  <c r="F15" i="1" s="1"/>
  <c r="G13" i="1"/>
  <c r="H13" i="1"/>
  <c r="I13" i="1"/>
  <c r="I15" i="1" s="1"/>
  <c r="J13" i="1"/>
  <c r="J15" i="1" s="1"/>
  <c r="K13" i="1"/>
  <c r="K15" i="1" s="1"/>
  <c r="L13" i="1"/>
  <c r="M13" i="1"/>
  <c r="N13" i="1"/>
  <c r="N15" i="1" s="1"/>
  <c r="O13" i="1"/>
  <c r="C14" i="1"/>
  <c r="D14" i="1"/>
  <c r="D15" i="1" s="1"/>
  <c r="E14" i="1"/>
  <c r="F14" i="1"/>
  <c r="G14" i="1"/>
  <c r="H14" i="1"/>
  <c r="I14" i="1"/>
  <c r="J14" i="1"/>
  <c r="K14" i="1"/>
  <c r="L14" i="1"/>
  <c r="L15" i="1" s="1"/>
  <c r="M14" i="1"/>
  <c r="N14" i="1"/>
  <c r="O14" i="1"/>
  <c r="E15" i="1"/>
  <c r="G15" i="1"/>
  <c r="H15" i="1"/>
  <c r="M15" i="1"/>
  <c r="O15" i="1"/>
  <c r="C16" i="1"/>
  <c r="D16" i="1"/>
  <c r="D19" i="1" s="1"/>
  <c r="E16" i="1"/>
  <c r="F16" i="1"/>
  <c r="F19" i="1" s="1"/>
  <c r="G16" i="1"/>
  <c r="H16" i="1"/>
  <c r="H19" i="1" s="1"/>
  <c r="I16" i="1"/>
  <c r="J16" i="1"/>
  <c r="J19" i="1" s="1"/>
  <c r="K16" i="1"/>
  <c r="L16" i="1"/>
  <c r="L19" i="1" s="1"/>
  <c r="M16" i="1"/>
  <c r="N16" i="1"/>
  <c r="N19" i="1" s="1"/>
  <c r="O16" i="1"/>
  <c r="C17" i="1"/>
  <c r="D17" i="1"/>
  <c r="E17" i="1"/>
  <c r="E19" i="1" s="1"/>
  <c r="F17" i="1"/>
  <c r="G17" i="1"/>
  <c r="G19" i="1" s="1"/>
  <c r="H17" i="1"/>
  <c r="I17" i="1"/>
  <c r="J17" i="1"/>
  <c r="K17" i="1"/>
  <c r="L17" i="1"/>
  <c r="M17" i="1"/>
  <c r="M19" i="1" s="1"/>
  <c r="N17" i="1"/>
  <c r="O17" i="1"/>
  <c r="O19" i="1" s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C19" i="1"/>
  <c r="I19" i="1"/>
  <c r="K19" i="1"/>
  <c r="C21" i="1"/>
  <c r="D21" i="1"/>
  <c r="D24" i="1" s="1"/>
  <c r="E21" i="1"/>
  <c r="F21" i="1"/>
  <c r="F24" i="1" s="1"/>
  <c r="G21" i="1"/>
  <c r="H21" i="1"/>
  <c r="H24" i="1" s="1"/>
  <c r="I21" i="1"/>
  <c r="J21" i="1"/>
  <c r="J24" i="1" s="1"/>
  <c r="K21" i="1"/>
  <c r="L21" i="1"/>
  <c r="L24" i="1" s="1"/>
  <c r="M21" i="1"/>
  <c r="N21" i="1"/>
  <c r="N24" i="1" s="1"/>
  <c r="O21" i="1"/>
  <c r="C22" i="1"/>
  <c r="C24" i="1" s="1"/>
  <c r="D22" i="1"/>
  <c r="E22" i="1"/>
  <c r="F22" i="1"/>
  <c r="G22" i="1"/>
  <c r="H22" i="1"/>
  <c r="I22" i="1"/>
  <c r="I24" i="1" s="1"/>
  <c r="J22" i="1"/>
  <c r="K22" i="1"/>
  <c r="K24" i="1" s="1"/>
  <c r="L22" i="1"/>
  <c r="M22" i="1"/>
  <c r="N22" i="1"/>
  <c r="O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E24" i="1"/>
  <c r="G24" i="1"/>
  <c r="M24" i="1"/>
  <c r="O24" i="1"/>
  <c r="C25" i="1"/>
  <c r="D25" i="1"/>
  <c r="D28" i="1" s="1"/>
  <c r="E25" i="1"/>
  <c r="F25" i="1"/>
  <c r="F28" i="1" s="1"/>
  <c r="G25" i="1"/>
  <c r="H25" i="1"/>
  <c r="H28" i="1" s="1"/>
  <c r="I25" i="1"/>
  <c r="J25" i="1"/>
  <c r="J28" i="1" s="1"/>
  <c r="K25" i="1"/>
  <c r="L25" i="1"/>
  <c r="L28" i="1" s="1"/>
  <c r="M25" i="1"/>
  <c r="N25" i="1"/>
  <c r="N28" i="1" s="1"/>
  <c r="O25" i="1"/>
  <c r="C26" i="1"/>
  <c r="D26" i="1"/>
  <c r="E26" i="1"/>
  <c r="E28" i="1" s="1"/>
  <c r="F26" i="1"/>
  <c r="G26" i="1"/>
  <c r="G28" i="1" s="1"/>
  <c r="H26" i="1"/>
  <c r="I26" i="1"/>
  <c r="J26" i="1"/>
  <c r="K26" i="1"/>
  <c r="L26" i="1"/>
  <c r="M26" i="1"/>
  <c r="M28" i="1" s="1"/>
  <c r="N26" i="1"/>
  <c r="O26" i="1"/>
  <c r="O28" i="1" s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C28" i="1"/>
  <c r="I28" i="1"/>
  <c r="K28" i="1"/>
  <c r="C29" i="1"/>
  <c r="D29" i="1"/>
  <c r="D32" i="1" s="1"/>
  <c r="E29" i="1"/>
  <c r="F29" i="1"/>
  <c r="F32" i="1" s="1"/>
  <c r="G29" i="1"/>
  <c r="H29" i="1"/>
  <c r="H32" i="1" s="1"/>
  <c r="I29" i="1"/>
  <c r="J29" i="1"/>
  <c r="J32" i="1" s="1"/>
  <c r="K29" i="1"/>
  <c r="L29" i="1"/>
  <c r="L32" i="1" s="1"/>
  <c r="M29" i="1"/>
  <c r="N29" i="1"/>
  <c r="N32" i="1" s="1"/>
  <c r="O29" i="1"/>
  <c r="C30" i="1"/>
  <c r="C32" i="1" s="1"/>
  <c r="D30" i="1"/>
  <c r="E30" i="1"/>
  <c r="F30" i="1"/>
  <c r="G30" i="1"/>
  <c r="H30" i="1"/>
  <c r="I30" i="1"/>
  <c r="I32" i="1" s="1"/>
  <c r="J30" i="1"/>
  <c r="K30" i="1"/>
  <c r="K32" i="1" s="1"/>
  <c r="L30" i="1"/>
  <c r="M30" i="1"/>
  <c r="N30" i="1"/>
  <c r="O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E32" i="1"/>
  <c r="G32" i="1"/>
  <c r="M32" i="1"/>
  <c r="O32" i="1"/>
  <c r="C33" i="1"/>
  <c r="D33" i="1"/>
  <c r="D36" i="1" s="1"/>
  <c r="E33" i="1"/>
  <c r="F33" i="1"/>
  <c r="G33" i="1"/>
  <c r="H33" i="1"/>
  <c r="H36" i="1" s="1"/>
  <c r="I33" i="1"/>
  <c r="J33" i="1"/>
  <c r="J36" i="1" s="1"/>
  <c r="K33" i="1"/>
  <c r="L33" i="1"/>
  <c r="L36" i="1" s="1"/>
  <c r="M33" i="1"/>
  <c r="N33" i="1"/>
  <c r="O33" i="1"/>
  <c r="C34" i="1"/>
  <c r="D34" i="1"/>
  <c r="E34" i="1"/>
  <c r="E36" i="1" s="1"/>
  <c r="F34" i="1"/>
  <c r="F36" i="1" s="1"/>
  <c r="G34" i="1"/>
  <c r="G36" i="1" s="1"/>
  <c r="H34" i="1"/>
  <c r="I34" i="1"/>
  <c r="J34" i="1"/>
  <c r="K34" i="1"/>
  <c r="L34" i="1"/>
  <c r="M34" i="1"/>
  <c r="M36" i="1" s="1"/>
  <c r="N34" i="1"/>
  <c r="N36" i="1" s="1"/>
  <c r="O34" i="1"/>
  <c r="O36" i="1" s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C36" i="1"/>
  <c r="I36" i="1"/>
  <c r="K36" i="1"/>
  <c r="C37" i="1"/>
  <c r="D37" i="1"/>
  <c r="D40" i="1" s="1"/>
  <c r="E37" i="1"/>
  <c r="F37" i="1"/>
  <c r="F40" i="1" s="1"/>
  <c r="G37" i="1"/>
  <c r="H37" i="1"/>
  <c r="H40" i="1" s="1"/>
  <c r="I37" i="1"/>
  <c r="J37" i="1"/>
  <c r="K37" i="1"/>
  <c r="L37" i="1"/>
  <c r="L40" i="1" s="1"/>
  <c r="M37" i="1"/>
  <c r="N37" i="1"/>
  <c r="N40" i="1" s="1"/>
  <c r="O37" i="1"/>
  <c r="C38" i="1"/>
  <c r="C40" i="1" s="1"/>
  <c r="D38" i="1"/>
  <c r="E38" i="1"/>
  <c r="F38" i="1"/>
  <c r="G38" i="1"/>
  <c r="H38" i="1"/>
  <c r="I38" i="1"/>
  <c r="I40" i="1" s="1"/>
  <c r="J38" i="1"/>
  <c r="J40" i="1" s="1"/>
  <c r="K38" i="1"/>
  <c r="K40" i="1" s="1"/>
  <c r="L38" i="1"/>
  <c r="M38" i="1"/>
  <c r="N38" i="1"/>
  <c r="O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E40" i="1"/>
  <c r="G40" i="1"/>
  <c r="M40" i="1"/>
  <c r="O40" i="1"/>
  <c r="C41" i="1"/>
  <c r="D41" i="1"/>
  <c r="D44" i="1" s="1"/>
  <c r="E41" i="1"/>
  <c r="F41" i="1"/>
  <c r="G41" i="1"/>
  <c r="H41" i="1"/>
  <c r="H44" i="1" s="1"/>
  <c r="I41" i="1"/>
  <c r="J41" i="1"/>
  <c r="J44" i="1" s="1"/>
  <c r="K41" i="1"/>
  <c r="L41" i="1"/>
  <c r="L44" i="1" s="1"/>
  <c r="M41" i="1"/>
  <c r="N41" i="1"/>
  <c r="O41" i="1"/>
  <c r="C42" i="1"/>
  <c r="D42" i="1"/>
  <c r="E42" i="1"/>
  <c r="E44" i="1" s="1"/>
  <c r="F42" i="1"/>
  <c r="F44" i="1" s="1"/>
  <c r="G42" i="1"/>
  <c r="G44" i="1" s="1"/>
  <c r="H42" i="1"/>
  <c r="I42" i="1"/>
  <c r="J42" i="1"/>
  <c r="K42" i="1"/>
  <c r="L42" i="1"/>
  <c r="M42" i="1"/>
  <c r="M44" i="1" s="1"/>
  <c r="N42" i="1"/>
  <c r="N44" i="1" s="1"/>
  <c r="O42" i="1"/>
  <c r="O44" i="1" s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C44" i="1"/>
  <c r="I44" i="1"/>
  <c r="K44" i="1"/>
  <c r="C45" i="1"/>
  <c r="D45" i="1"/>
  <c r="D48" i="1" s="1"/>
  <c r="E45" i="1"/>
  <c r="F45" i="1"/>
  <c r="F48" i="1" s="1"/>
  <c r="G45" i="1"/>
  <c r="H45" i="1"/>
  <c r="H48" i="1" s="1"/>
  <c r="I45" i="1"/>
  <c r="J45" i="1"/>
  <c r="K45" i="1"/>
  <c r="K48" i="1" s="1"/>
  <c r="L45" i="1"/>
  <c r="L48" i="1" s="1"/>
  <c r="M45" i="1"/>
  <c r="N45" i="1"/>
  <c r="N48" i="1" s="1"/>
  <c r="O45" i="1"/>
  <c r="C46" i="1"/>
  <c r="C48" i="1" s="1"/>
  <c r="D46" i="1"/>
  <c r="E46" i="1"/>
  <c r="F46" i="1"/>
  <c r="G46" i="1"/>
  <c r="H46" i="1"/>
  <c r="I46" i="1"/>
  <c r="I48" i="1" s="1"/>
  <c r="J46" i="1"/>
  <c r="K46" i="1"/>
  <c r="L46" i="1"/>
  <c r="M46" i="1"/>
  <c r="N46" i="1"/>
  <c r="O46" i="1"/>
  <c r="C47" i="1"/>
  <c r="D47" i="1"/>
  <c r="E47" i="1"/>
  <c r="F47" i="1"/>
  <c r="G47" i="1"/>
  <c r="H47" i="1"/>
  <c r="I47" i="1"/>
  <c r="J47" i="1"/>
  <c r="J48" i="1" s="1"/>
  <c r="K47" i="1"/>
  <c r="L47" i="1"/>
  <c r="M47" i="1"/>
  <c r="N47" i="1"/>
  <c r="O47" i="1"/>
  <c r="E48" i="1"/>
  <c r="G48" i="1"/>
  <c r="M48" i="1"/>
  <c r="O48" i="1"/>
  <c r="C49" i="1"/>
  <c r="D49" i="1"/>
  <c r="D52" i="1" s="1"/>
  <c r="E49" i="1"/>
  <c r="F49" i="1"/>
  <c r="G49" i="1"/>
  <c r="G52" i="1" s="1"/>
  <c r="H49" i="1"/>
  <c r="H52" i="1" s="1"/>
  <c r="I49" i="1"/>
  <c r="J49" i="1"/>
  <c r="J52" i="1" s="1"/>
  <c r="K49" i="1"/>
  <c r="L49" i="1"/>
  <c r="L52" i="1" s="1"/>
  <c r="M49" i="1"/>
  <c r="N49" i="1"/>
  <c r="O49" i="1"/>
  <c r="O52" i="1" s="1"/>
  <c r="C50" i="1"/>
  <c r="D50" i="1"/>
  <c r="E50" i="1"/>
  <c r="E52" i="1" s="1"/>
  <c r="F50" i="1"/>
  <c r="G50" i="1"/>
  <c r="H50" i="1"/>
  <c r="I50" i="1"/>
  <c r="J50" i="1"/>
  <c r="K50" i="1"/>
  <c r="L50" i="1"/>
  <c r="M50" i="1"/>
  <c r="M52" i="1" s="1"/>
  <c r="N50" i="1"/>
  <c r="O50" i="1"/>
  <c r="C51" i="1"/>
  <c r="D51" i="1"/>
  <c r="E51" i="1"/>
  <c r="F51" i="1"/>
  <c r="F52" i="1" s="1"/>
  <c r="G51" i="1"/>
  <c r="H51" i="1"/>
  <c r="I51" i="1"/>
  <c r="J51" i="1"/>
  <c r="K51" i="1"/>
  <c r="L51" i="1"/>
  <c r="M51" i="1"/>
  <c r="N51" i="1"/>
  <c r="N52" i="1" s="1"/>
  <c r="O51" i="1"/>
  <c r="C52" i="1"/>
  <c r="I52" i="1"/>
  <c r="K52" i="1"/>
  <c r="C53" i="1"/>
  <c r="D53" i="1"/>
  <c r="D56" i="1" s="1"/>
  <c r="E53" i="1"/>
  <c r="F53" i="1"/>
  <c r="F56" i="1" s="1"/>
  <c r="G53" i="1"/>
  <c r="H53" i="1"/>
  <c r="H56" i="1" s="1"/>
  <c r="I53" i="1"/>
  <c r="J53" i="1"/>
  <c r="K53" i="1"/>
  <c r="L53" i="1"/>
  <c r="L56" i="1" s="1"/>
  <c r="M53" i="1"/>
  <c r="N53" i="1"/>
  <c r="N56" i="1" s="1"/>
  <c r="O53" i="1"/>
  <c r="C54" i="1"/>
  <c r="C56" i="1" s="1"/>
  <c r="D54" i="1"/>
  <c r="E54" i="1"/>
  <c r="F54" i="1"/>
  <c r="G54" i="1"/>
  <c r="H54" i="1"/>
  <c r="I54" i="1"/>
  <c r="I56" i="1" s="1"/>
  <c r="J54" i="1"/>
  <c r="K54" i="1"/>
  <c r="K56" i="1" s="1"/>
  <c r="L54" i="1"/>
  <c r="M54" i="1"/>
  <c r="N54" i="1"/>
  <c r="O54" i="1"/>
  <c r="C55" i="1"/>
  <c r="D55" i="1"/>
  <c r="E55" i="1"/>
  <c r="F55" i="1"/>
  <c r="G55" i="1"/>
  <c r="H55" i="1"/>
  <c r="I55" i="1"/>
  <c r="J55" i="1"/>
  <c r="J56" i="1" s="1"/>
  <c r="K55" i="1"/>
  <c r="L55" i="1"/>
  <c r="M55" i="1"/>
  <c r="N55" i="1"/>
  <c r="O55" i="1"/>
  <c r="E56" i="1"/>
  <c r="G56" i="1"/>
  <c r="M56" i="1"/>
  <c r="O56" i="1"/>
</calcChain>
</file>

<file path=xl/sharedStrings.xml><?xml version="1.0" encoding="utf-8"?>
<sst xmlns="http://schemas.openxmlformats.org/spreadsheetml/2006/main" count="68" uniqueCount="32">
  <si>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</si>
  <si>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</si>
  <si>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</si>
  <si>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</si>
  <si>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</si>
  <si>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</si>
  <si>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</si>
  <si>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</si>
  <si>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</si>
  <si>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</si>
  <si>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</si>
  <si>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</si>
  <si>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</si>
  <si>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</si>
  <si>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Software</t>
  </si>
  <si>
    <t>Books</t>
  </si>
  <si>
    <t>Videos</t>
  </si>
  <si>
    <t>CD-ROMs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</si>
  <si>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</si>
  <si>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</si>
  <si>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</si>
  <si>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</si>
  <si>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</si>
  <si>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</si>
  <si>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</si>
  <si>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</si>
  <si>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</si>
  <si>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</si>
  <si>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</si>
  <si>
    <t>Division A Budget</t>
  </si>
  <si>
    <t>Division C Budget</t>
  </si>
  <si>
    <t>Division B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</si>
</sst>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nial\Data%20Analysis%20and%20Business%20Intelligence\Week%201\Day%205\Division%20A%20Budget.xlsx" TargetMode="External"/><Relationship Id="rId1" Type="http://schemas.openxmlformats.org/officeDocument/2006/relationships/externalLinkPath" Target="Division%20A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nial\Data%20Analysis%20and%20Business%20Intelligence\Week%201\Day%205\Division%20B%20Budget.xlsx" TargetMode="External"/><Relationship Id="rId1" Type="http://schemas.openxmlformats.org/officeDocument/2006/relationships/externalLinkPath" Target="Division%20B%20Budg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nial\Data%20Analysis%20and%20Business%20Intelligence\Week%201\Day%205\Division%20C%20Budget.xlsx" TargetMode="External"/><Relationship Id="rId1" Type="http://schemas.openxmlformats.org/officeDocument/2006/relationships/externalLinkPath" Target="Division%20C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5">
          <cell r="B5">
            <v>23500</v>
          </cell>
          <cell r="C5">
            <v>23000</v>
          </cell>
          <cell r="D5">
            <v>24000</v>
          </cell>
          <cell r="E5">
            <v>25100</v>
          </cell>
          <cell r="F5">
            <v>25000</v>
          </cell>
          <cell r="G5">
            <v>25400</v>
          </cell>
          <cell r="H5">
            <v>26000</v>
          </cell>
          <cell r="I5">
            <v>24000</v>
          </cell>
          <cell r="J5">
            <v>24000</v>
          </cell>
          <cell r="K5">
            <v>26000</v>
          </cell>
          <cell r="L5">
            <v>24000</v>
          </cell>
          <cell r="M5">
            <v>24000</v>
          </cell>
          <cell r="N5">
            <v>294000</v>
          </cell>
        </row>
        <row r="6">
          <cell r="B6">
            <v>28750</v>
          </cell>
          <cell r="C6">
            <v>27800</v>
          </cell>
          <cell r="D6">
            <v>29500</v>
          </cell>
          <cell r="E6">
            <v>31000</v>
          </cell>
          <cell r="F6">
            <v>30500</v>
          </cell>
          <cell r="G6">
            <v>30000</v>
          </cell>
          <cell r="H6">
            <v>31000</v>
          </cell>
          <cell r="I6">
            <v>29500</v>
          </cell>
          <cell r="J6">
            <v>29500</v>
          </cell>
          <cell r="K6">
            <v>32000</v>
          </cell>
          <cell r="L6">
            <v>29500</v>
          </cell>
          <cell r="M6">
            <v>29500</v>
          </cell>
          <cell r="N6">
            <v>358550</v>
          </cell>
        </row>
        <row r="7">
          <cell r="B7">
            <v>24400</v>
          </cell>
          <cell r="C7">
            <v>24000</v>
          </cell>
          <cell r="D7">
            <v>25250</v>
          </cell>
          <cell r="E7">
            <v>26600</v>
          </cell>
          <cell r="F7">
            <v>27000</v>
          </cell>
          <cell r="G7">
            <v>26750</v>
          </cell>
          <cell r="H7">
            <v>27000</v>
          </cell>
          <cell r="I7">
            <v>25250</v>
          </cell>
          <cell r="J7">
            <v>25250</v>
          </cell>
          <cell r="K7">
            <v>28000</v>
          </cell>
          <cell r="L7">
            <v>25250</v>
          </cell>
          <cell r="M7">
            <v>25250</v>
          </cell>
          <cell r="N7">
            <v>310000</v>
          </cell>
        </row>
        <row r="8">
          <cell r="B8">
            <v>76650</v>
          </cell>
          <cell r="C8">
            <v>74800</v>
          </cell>
          <cell r="D8">
            <v>78750</v>
          </cell>
          <cell r="E8">
            <v>82700</v>
          </cell>
          <cell r="F8">
            <v>82500</v>
          </cell>
          <cell r="G8">
            <v>82150</v>
          </cell>
          <cell r="H8">
            <v>84000</v>
          </cell>
          <cell r="I8">
            <v>78750</v>
          </cell>
          <cell r="J8">
            <v>78750</v>
          </cell>
          <cell r="K8">
            <v>86000</v>
          </cell>
          <cell r="L8">
            <v>78750</v>
          </cell>
          <cell r="M8">
            <v>78750</v>
          </cell>
          <cell r="N8">
            <v>962550</v>
          </cell>
        </row>
        <row r="10">
          <cell r="B10">
            <v>6132</v>
          </cell>
          <cell r="C10">
            <v>5984</v>
          </cell>
          <cell r="D10">
            <v>6300</v>
          </cell>
          <cell r="E10">
            <v>6616</v>
          </cell>
          <cell r="F10">
            <v>6600</v>
          </cell>
          <cell r="G10">
            <v>6572</v>
          </cell>
          <cell r="H10">
            <v>6720</v>
          </cell>
          <cell r="I10">
            <v>6300</v>
          </cell>
          <cell r="J10">
            <v>6300</v>
          </cell>
          <cell r="K10">
            <v>6880</v>
          </cell>
          <cell r="L10">
            <v>6300</v>
          </cell>
          <cell r="M10">
            <v>6300</v>
          </cell>
          <cell r="N10">
            <v>77004</v>
          </cell>
        </row>
        <row r="11">
          <cell r="B11">
            <v>4600</v>
          </cell>
          <cell r="C11">
            <v>4200</v>
          </cell>
          <cell r="D11">
            <v>5200</v>
          </cell>
          <cell r="E11">
            <v>5000</v>
          </cell>
          <cell r="F11">
            <v>5500</v>
          </cell>
          <cell r="G11">
            <v>5250</v>
          </cell>
          <cell r="H11">
            <v>5500</v>
          </cell>
          <cell r="I11">
            <v>5200</v>
          </cell>
          <cell r="J11">
            <v>5200</v>
          </cell>
          <cell r="K11">
            <v>4500</v>
          </cell>
          <cell r="L11">
            <v>5200</v>
          </cell>
          <cell r="M11">
            <v>5200</v>
          </cell>
          <cell r="N11">
            <v>60550</v>
          </cell>
        </row>
        <row r="12">
          <cell r="B12">
            <v>2100</v>
          </cell>
          <cell r="C12">
            <v>2100</v>
          </cell>
          <cell r="D12">
            <v>2100</v>
          </cell>
          <cell r="E12">
            <v>2100</v>
          </cell>
          <cell r="F12">
            <v>2100</v>
          </cell>
          <cell r="G12">
            <v>2100</v>
          </cell>
          <cell r="H12">
            <v>2100</v>
          </cell>
          <cell r="I12">
            <v>2100</v>
          </cell>
          <cell r="J12">
            <v>2100</v>
          </cell>
          <cell r="K12">
            <v>2100</v>
          </cell>
          <cell r="L12">
            <v>2100</v>
          </cell>
          <cell r="M12">
            <v>2100</v>
          </cell>
          <cell r="N12">
            <v>25200</v>
          </cell>
        </row>
        <row r="13">
          <cell r="B13">
            <v>1300</v>
          </cell>
          <cell r="C13">
            <v>1200</v>
          </cell>
          <cell r="D13">
            <v>1400</v>
          </cell>
          <cell r="E13">
            <v>1300</v>
          </cell>
          <cell r="F13">
            <v>1250</v>
          </cell>
          <cell r="G13">
            <v>1400</v>
          </cell>
          <cell r="H13">
            <v>1300</v>
          </cell>
          <cell r="I13">
            <v>1400</v>
          </cell>
          <cell r="J13">
            <v>1400</v>
          </cell>
          <cell r="K13">
            <v>1250</v>
          </cell>
          <cell r="L13">
            <v>1350</v>
          </cell>
          <cell r="M13">
            <v>1400</v>
          </cell>
          <cell r="N13">
            <v>15950</v>
          </cell>
        </row>
        <row r="14">
          <cell r="B14">
            <v>16000</v>
          </cell>
          <cell r="C14">
            <v>16000</v>
          </cell>
          <cell r="D14">
            <v>16500</v>
          </cell>
          <cell r="E14">
            <v>16500</v>
          </cell>
          <cell r="F14">
            <v>16500</v>
          </cell>
          <cell r="G14">
            <v>17000</v>
          </cell>
          <cell r="H14">
            <v>17000</v>
          </cell>
          <cell r="I14">
            <v>17000</v>
          </cell>
          <cell r="J14">
            <v>17000</v>
          </cell>
          <cell r="K14">
            <v>17000</v>
          </cell>
          <cell r="L14">
            <v>17500</v>
          </cell>
          <cell r="M14">
            <v>17500</v>
          </cell>
          <cell r="N14">
            <v>201500</v>
          </cell>
        </row>
        <row r="15">
          <cell r="B15">
            <v>14250</v>
          </cell>
          <cell r="C15">
            <v>13750</v>
          </cell>
          <cell r="D15">
            <v>14500</v>
          </cell>
          <cell r="E15">
            <v>15000</v>
          </cell>
          <cell r="F15">
            <v>14500</v>
          </cell>
          <cell r="G15">
            <v>14750</v>
          </cell>
          <cell r="H15">
            <v>15000</v>
          </cell>
          <cell r="I15">
            <v>14500</v>
          </cell>
          <cell r="J15">
            <v>14500</v>
          </cell>
          <cell r="K15">
            <v>15750</v>
          </cell>
          <cell r="L15">
            <v>15250</v>
          </cell>
          <cell r="M15">
            <v>14500</v>
          </cell>
          <cell r="N15">
            <v>176250</v>
          </cell>
        </row>
        <row r="16">
          <cell r="B16">
            <v>500</v>
          </cell>
          <cell r="C16">
            <v>600</v>
          </cell>
          <cell r="D16">
            <v>600</v>
          </cell>
          <cell r="E16">
            <v>550</v>
          </cell>
          <cell r="F16">
            <v>600</v>
          </cell>
          <cell r="G16">
            <v>650</v>
          </cell>
          <cell r="H16">
            <v>650</v>
          </cell>
          <cell r="I16">
            <v>600</v>
          </cell>
          <cell r="J16">
            <v>600</v>
          </cell>
          <cell r="K16">
            <v>650</v>
          </cell>
          <cell r="L16">
            <v>600</v>
          </cell>
          <cell r="M16">
            <v>600</v>
          </cell>
          <cell r="N16">
            <v>7200</v>
          </cell>
        </row>
        <row r="17">
          <cell r="B17">
            <v>44882</v>
          </cell>
          <cell r="C17">
            <v>43834</v>
          </cell>
          <cell r="D17">
            <v>46600</v>
          </cell>
          <cell r="E17">
            <v>47066</v>
          </cell>
          <cell r="F17">
            <v>47050</v>
          </cell>
          <cell r="G17">
            <v>47722</v>
          </cell>
          <cell r="H17">
            <v>48270</v>
          </cell>
          <cell r="I17">
            <v>47100</v>
          </cell>
          <cell r="J17">
            <v>47100</v>
          </cell>
          <cell r="K17">
            <v>48130</v>
          </cell>
          <cell r="L17">
            <v>48300</v>
          </cell>
          <cell r="M17">
            <v>47600</v>
          </cell>
          <cell r="N17">
            <v>563654</v>
          </cell>
        </row>
        <row r="18">
          <cell r="B18">
            <v>31768</v>
          </cell>
          <cell r="C18">
            <v>30966</v>
          </cell>
          <cell r="D18">
            <v>32150</v>
          </cell>
          <cell r="E18">
            <v>35634</v>
          </cell>
          <cell r="F18">
            <v>35450</v>
          </cell>
          <cell r="G18">
            <v>34428</v>
          </cell>
          <cell r="H18">
            <v>35730</v>
          </cell>
          <cell r="I18">
            <v>31650</v>
          </cell>
          <cell r="J18">
            <v>31650</v>
          </cell>
          <cell r="K18">
            <v>37870</v>
          </cell>
          <cell r="L18">
            <v>30450</v>
          </cell>
          <cell r="M18">
            <v>31150</v>
          </cell>
          <cell r="N18">
            <v>398896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4">
          <cell r="B4">
            <v>24700</v>
          </cell>
          <cell r="C4">
            <v>24250</v>
          </cell>
          <cell r="D4">
            <v>25000</v>
          </cell>
          <cell r="E4">
            <v>26500</v>
          </cell>
          <cell r="F4">
            <v>26250</v>
          </cell>
          <cell r="G4">
            <v>26670</v>
          </cell>
          <cell r="H4">
            <v>27300</v>
          </cell>
          <cell r="I4">
            <v>25200</v>
          </cell>
          <cell r="J4">
            <v>25200</v>
          </cell>
          <cell r="K4">
            <v>27300</v>
          </cell>
          <cell r="L4">
            <v>25200</v>
          </cell>
          <cell r="M4">
            <v>25200</v>
          </cell>
          <cell r="N4">
            <v>308770</v>
          </cell>
        </row>
        <row r="5">
          <cell r="B5">
            <v>25620</v>
          </cell>
          <cell r="C5">
            <v>25200</v>
          </cell>
          <cell r="D5">
            <v>26512.5</v>
          </cell>
          <cell r="E5">
            <v>27930</v>
          </cell>
          <cell r="F5">
            <v>28350</v>
          </cell>
          <cell r="G5">
            <v>28087.5</v>
          </cell>
          <cell r="H5">
            <v>28350</v>
          </cell>
          <cell r="I5">
            <v>26512.5</v>
          </cell>
          <cell r="J5">
            <v>26512.5</v>
          </cell>
          <cell r="K5">
            <v>29400</v>
          </cell>
          <cell r="L5">
            <v>26512.5</v>
          </cell>
          <cell r="M5">
            <v>26512.5</v>
          </cell>
          <cell r="N5">
            <v>325500</v>
          </cell>
        </row>
        <row r="6">
          <cell r="B6">
            <v>50320</v>
          </cell>
          <cell r="C6">
            <v>49450</v>
          </cell>
          <cell r="D6">
            <v>51512.5</v>
          </cell>
          <cell r="E6">
            <v>54430</v>
          </cell>
          <cell r="F6">
            <v>54600</v>
          </cell>
          <cell r="G6">
            <v>54757.5</v>
          </cell>
          <cell r="H6">
            <v>55650</v>
          </cell>
          <cell r="I6">
            <v>51712.5</v>
          </cell>
          <cell r="J6">
            <v>51712.5</v>
          </cell>
          <cell r="K6">
            <v>56700</v>
          </cell>
          <cell r="L6">
            <v>51712.5</v>
          </cell>
          <cell r="M6">
            <v>51712.5</v>
          </cell>
          <cell r="N6">
            <v>634270</v>
          </cell>
        </row>
        <row r="8">
          <cell r="B8">
            <v>4025.6</v>
          </cell>
          <cell r="C8">
            <v>3956</v>
          </cell>
          <cell r="D8">
            <v>4121</v>
          </cell>
          <cell r="E8">
            <v>4354.3999999999996</v>
          </cell>
          <cell r="F8">
            <v>4368</v>
          </cell>
          <cell r="G8">
            <v>4380.6000000000004</v>
          </cell>
          <cell r="H8">
            <v>4452</v>
          </cell>
          <cell r="I8">
            <v>4137</v>
          </cell>
          <cell r="J8">
            <v>4137</v>
          </cell>
          <cell r="K8">
            <v>4536</v>
          </cell>
          <cell r="L8">
            <v>4137</v>
          </cell>
          <cell r="M8">
            <v>4137</v>
          </cell>
          <cell r="N8">
            <v>50741.599999999999</v>
          </cell>
        </row>
        <row r="9">
          <cell r="B9">
            <v>4738</v>
          </cell>
          <cell r="C9">
            <v>4326</v>
          </cell>
          <cell r="D9">
            <v>5356</v>
          </cell>
          <cell r="E9">
            <v>5150</v>
          </cell>
          <cell r="F9">
            <v>5665</v>
          </cell>
          <cell r="G9">
            <v>5407.5</v>
          </cell>
          <cell r="H9">
            <v>5665</v>
          </cell>
          <cell r="I9">
            <v>5356</v>
          </cell>
          <cell r="J9">
            <v>5356</v>
          </cell>
          <cell r="K9">
            <v>4635</v>
          </cell>
          <cell r="L9">
            <v>5356</v>
          </cell>
          <cell r="M9">
            <v>5356</v>
          </cell>
          <cell r="N9">
            <v>62366.5</v>
          </cell>
        </row>
        <row r="10">
          <cell r="B10">
            <v>2163</v>
          </cell>
          <cell r="C10">
            <v>2163</v>
          </cell>
          <cell r="D10">
            <v>2163</v>
          </cell>
          <cell r="E10">
            <v>2163</v>
          </cell>
          <cell r="F10">
            <v>2163</v>
          </cell>
          <cell r="G10">
            <v>2163</v>
          </cell>
          <cell r="H10">
            <v>2163</v>
          </cell>
          <cell r="I10">
            <v>2163</v>
          </cell>
          <cell r="J10">
            <v>2163</v>
          </cell>
          <cell r="K10">
            <v>2163</v>
          </cell>
          <cell r="L10">
            <v>2163</v>
          </cell>
          <cell r="M10">
            <v>2163</v>
          </cell>
          <cell r="N10">
            <v>25956</v>
          </cell>
        </row>
        <row r="11">
          <cell r="B11">
            <v>1339</v>
          </cell>
          <cell r="C11">
            <v>1236</v>
          </cell>
          <cell r="D11">
            <v>1442</v>
          </cell>
          <cell r="E11">
            <v>1339</v>
          </cell>
          <cell r="F11">
            <v>1287.5</v>
          </cell>
          <cell r="G11">
            <v>1442</v>
          </cell>
          <cell r="H11">
            <v>1339</v>
          </cell>
          <cell r="I11">
            <v>1442</v>
          </cell>
          <cell r="J11">
            <v>1442</v>
          </cell>
          <cell r="K11">
            <v>1287.5</v>
          </cell>
          <cell r="L11">
            <v>1390.5</v>
          </cell>
          <cell r="M11">
            <v>1442</v>
          </cell>
          <cell r="N11">
            <v>16428.5</v>
          </cell>
        </row>
        <row r="12">
          <cell r="B12">
            <v>16480</v>
          </cell>
          <cell r="C12">
            <v>16480</v>
          </cell>
          <cell r="D12">
            <v>16995</v>
          </cell>
          <cell r="E12">
            <v>16995</v>
          </cell>
          <cell r="F12">
            <v>16995</v>
          </cell>
          <cell r="G12">
            <v>17510</v>
          </cell>
          <cell r="H12">
            <v>17510</v>
          </cell>
          <cell r="I12">
            <v>17510</v>
          </cell>
          <cell r="J12">
            <v>17510</v>
          </cell>
          <cell r="K12">
            <v>17510</v>
          </cell>
          <cell r="L12">
            <v>18025</v>
          </cell>
          <cell r="M12">
            <v>18025</v>
          </cell>
          <cell r="N12">
            <v>207545</v>
          </cell>
        </row>
        <row r="13">
          <cell r="B13">
            <v>14677.5</v>
          </cell>
          <cell r="C13">
            <v>14162.5</v>
          </cell>
          <cell r="D13">
            <v>14935</v>
          </cell>
          <cell r="E13">
            <v>15450</v>
          </cell>
          <cell r="F13">
            <v>14935</v>
          </cell>
          <cell r="G13">
            <v>15192.5</v>
          </cell>
          <cell r="H13">
            <v>15450</v>
          </cell>
          <cell r="I13">
            <v>14935</v>
          </cell>
          <cell r="J13">
            <v>14935</v>
          </cell>
          <cell r="K13">
            <v>16222.5</v>
          </cell>
          <cell r="L13">
            <v>15707.5</v>
          </cell>
          <cell r="M13">
            <v>14935</v>
          </cell>
          <cell r="N13">
            <v>181537.5</v>
          </cell>
        </row>
        <row r="14">
          <cell r="B14">
            <v>515</v>
          </cell>
          <cell r="C14">
            <v>618</v>
          </cell>
          <cell r="D14">
            <v>618</v>
          </cell>
          <cell r="E14">
            <v>566.5</v>
          </cell>
          <cell r="F14">
            <v>618</v>
          </cell>
          <cell r="G14">
            <v>669.5</v>
          </cell>
          <cell r="H14">
            <v>669.5</v>
          </cell>
          <cell r="I14">
            <v>618</v>
          </cell>
          <cell r="J14">
            <v>618</v>
          </cell>
          <cell r="K14">
            <v>669.5</v>
          </cell>
          <cell r="L14">
            <v>618</v>
          </cell>
          <cell r="M14">
            <v>618</v>
          </cell>
          <cell r="N14">
            <v>7416</v>
          </cell>
        </row>
        <row r="15">
          <cell r="B15">
            <v>43938.1</v>
          </cell>
          <cell r="C15">
            <v>42941.5</v>
          </cell>
          <cell r="D15">
            <v>45630</v>
          </cell>
          <cell r="E15">
            <v>46017.9</v>
          </cell>
          <cell r="F15">
            <v>46031.5</v>
          </cell>
          <cell r="G15">
            <v>46765.1</v>
          </cell>
          <cell r="H15">
            <v>47248.5</v>
          </cell>
          <cell r="I15">
            <v>46161</v>
          </cell>
          <cell r="J15">
            <v>46161</v>
          </cell>
          <cell r="K15">
            <v>47023.5</v>
          </cell>
          <cell r="L15">
            <v>47397</v>
          </cell>
          <cell r="M15">
            <v>46676</v>
          </cell>
          <cell r="N15">
            <v>551991.1</v>
          </cell>
        </row>
        <row r="16">
          <cell r="B16">
            <v>6381.9000000000015</v>
          </cell>
          <cell r="C16">
            <v>6508.5</v>
          </cell>
          <cell r="D16">
            <v>5882.5</v>
          </cell>
          <cell r="E16">
            <v>8412.0999999999985</v>
          </cell>
          <cell r="F16">
            <v>8568.5</v>
          </cell>
          <cell r="G16">
            <v>7992.4000000000015</v>
          </cell>
          <cell r="H16">
            <v>8401.5</v>
          </cell>
          <cell r="I16">
            <v>5551.5</v>
          </cell>
          <cell r="J16">
            <v>5551.5</v>
          </cell>
          <cell r="K16">
            <v>9676.5</v>
          </cell>
          <cell r="L16">
            <v>4315.5</v>
          </cell>
          <cell r="M16">
            <v>5036.5</v>
          </cell>
          <cell r="N16">
            <v>82278.899999999994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4">
          <cell r="B4">
            <v>23000</v>
          </cell>
          <cell r="C4">
            <v>22500</v>
          </cell>
          <cell r="D4">
            <v>23500</v>
          </cell>
          <cell r="E4">
            <v>25000</v>
          </cell>
          <cell r="F4">
            <v>24500</v>
          </cell>
          <cell r="G4">
            <v>24750</v>
          </cell>
          <cell r="H4">
            <v>25500</v>
          </cell>
          <cell r="I4">
            <v>23520</v>
          </cell>
          <cell r="J4">
            <v>23520</v>
          </cell>
          <cell r="K4">
            <v>25480</v>
          </cell>
          <cell r="L4">
            <v>23520</v>
          </cell>
          <cell r="M4">
            <v>23520</v>
          </cell>
          <cell r="N4">
            <v>288310</v>
          </cell>
        </row>
        <row r="5">
          <cell r="B5">
            <v>75000</v>
          </cell>
          <cell r="C5">
            <v>27244</v>
          </cell>
          <cell r="D5">
            <v>28910</v>
          </cell>
          <cell r="E5">
            <v>30380</v>
          </cell>
          <cell r="F5">
            <v>29890</v>
          </cell>
          <cell r="G5">
            <v>29400</v>
          </cell>
          <cell r="H5">
            <v>30380</v>
          </cell>
          <cell r="I5">
            <v>28910</v>
          </cell>
          <cell r="J5">
            <v>28910</v>
          </cell>
          <cell r="K5">
            <v>31360</v>
          </cell>
          <cell r="L5">
            <v>28910</v>
          </cell>
          <cell r="M5">
            <v>28910</v>
          </cell>
          <cell r="N5">
            <v>398204</v>
          </cell>
        </row>
        <row r="6">
          <cell r="B6">
            <v>26500</v>
          </cell>
          <cell r="C6">
            <v>25750</v>
          </cell>
          <cell r="D6">
            <v>26600</v>
          </cell>
          <cell r="E6">
            <v>29250</v>
          </cell>
          <cell r="F6">
            <v>28400</v>
          </cell>
          <cell r="G6">
            <v>26750</v>
          </cell>
          <cell r="H6">
            <v>28500</v>
          </cell>
          <cell r="I6">
            <v>28500</v>
          </cell>
          <cell r="J6">
            <v>28500</v>
          </cell>
          <cell r="K6">
            <v>28500</v>
          </cell>
          <cell r="L6">
            <v>28500</v>
          </cell>
          <cell r="M6">
            <v>28500</v>
          </cell>
          <cell r="N6">
            <v>334250</v>
          </cell>
        </row>
        <row r="7">
          <cell r="B7">
            <v>23912</v>
          </cell>
          <cell r="C7">
            <v>23520</v>
          </cell>
          <cell r="D7">
            <v>24745</v>
          </cell>
          <cell r="E7">
            <v>26068</v>
          </cell>
          <cell r="F7">
            <v>26460</v>
          </cell>
          <cell r="G7">
            <v>26215</v>
          </cell>
          <cell r="H7">
            <v>26460</v>
          </cell>
          <cell r="I7">
            <v>24745</v>
          </cell>
          <cell r="J7">
            <v>24745</v>
          </cell>
          <cell r="K7">
            <v>27440</v>
          </cell>
          <cell r="L7">
            <v>24745</v>
          </cell>
          <cell r="M7">
            <v>24745</v>
          </cell>
          <cell r="N7">
            <v>303800</v>
          </cell>
        </row>
        <row r="8">
          <cell r="B8">
            <v>148412</v>
          </cell>
          <cell r="C8">
            <v>99014</v>
          </cell>
          <cell r="D8">
            <v>103755</v>
          </cell>
          <cell r="E8">
            <v>110698</v>
          </cell>
          <cell r="F8">
            <v>109250</v>
          </cell>
          <cell r="G8">
            <v>107115</v>
          </cell>
          <cell r="H8">
            <v>110840</v>
          </cell>
          <cell r="I8">
            <v>105675</v>
          </cell>
          <cell r="J8">
            <v>105675</v>
          </cell>
          <cell r="K8">
            <v>112780</v>
          </cell>
          <cell r="L8">
            <v>105675</v>
          </cell>
          <cell r="M8">
            <v>105675</v>
          </cell>
          <cell r="N8">
            <v>1324564</v>
          </cell>
        </row>
        <row r="10">
          <cell r="B10">
            <v>11872.960000000001</v>
          </cell>
          <cell r="C10">
            <v>7921.12</v>
          </cell>
          <cell r="D10">
            <v>8300.4</v>
          </cell>
          <cell r="E10">
            <v>8855.84</v>
          </cell>
          <cell r="F10">
            <v>8740</v>
          </cell>
          <cell r="G10">
            <v>8569.2000000000007</v>
          </cell>
          <cell r="H10">
            <v>8867.2000000000007</v>
          </cell>
          <cell r="I10">
            <v>8454</v>
          </cell>
          <cell r="J10">
            <v>8454</v>
          </cell>
          <cell r="K10">
            <v>9022.4</v>
          </cell>
          <cell r="L10">
            <v>8454</v>
          </cell>
          <cell r="M10">
            <v>8454</v>
          </cell>
          <cell r="N10">
            <v>105965.12</v>
          </cell>
        </row>
        <row r="11">
          <cell r="B11">
            <v>4140</v>
          </cell>
          <cell r="C11">
            <v>3780</v>
          </cell>
          <cell r="D11">
            <v>4680</v>
          </cell>
          <cell r="E11">
            <v>4500</v>
          </cell>
          <cell r="F11">
            <v>4950</v>
          </cell>
          <cell r="G11">
            <v>4725</v>
          </cell>
          <cell r="H11">
            <v>4950</v>
          </cell>
          <cell r="I11">
            <v>4680</v>
          </cell>
          <cell r="J11">
            <v>4680</v>
          </cell>
          <cell r="K11">
            <v>4050</v>
          </cell>
          <cell r="L11">
            <v>4680</v>
          </cell>
          <cell r="M11">
            <v>4680</v>
          </cell>
          <cell r="N11">
            <v>54495</v>
          </cell>
        </row>
        <row r="12">
          <cell r="B12">
            <v>1890</v>
          </cell>
          <cell r="C12">
            <v>1890</v>
          </cell>
          <cell r="D12">
            <v>1890</v>
          </cell>
          <cell r="E12">
            <v>1890</v>
          </cell>
          <cell r="F12">
            <v>1890</v>
          </cell>
          <cell r="G12">
            <v>1890</v>
          </cell>
          <cell r="H12">
            <v>1890</v>
          </cell>
          <cell r="I12">
            <v>1890</v>
          </cell>
          <cell r="J12">
            <v>1890</v>
          </cell>
          <cell r="K12">
            <v>1890</v>
          </cell>
          <cell r="L12">
            <v>1890</v>
          </cell>
          <cell r="M12">
            <v>1890</v>
          </cell>
          <cell r="N12">
            <v>22680</v>
          </cell>
        </row>
        <row r="13">
          <cell r="B13">
            <v>1170</v>
          </cell>
          <cell r="C13">
            <v>1080</v>
          </cell>
          <cell r="D13">
            <v>1260</v>
          </cell>
          <cell r="E13">
            <v>1170</v>
          </cell>
          <cell r="F13">
            <v>1125</v>
          </cell>
          <cell r="G13">
            <v>1260</v>
          </cell>
          <cell r="H13">
            <v>1170</v>
          </cell>
          <cell r="I13">
            <v>1260</v>
          </cell>
          <cell r="J13">
            <v>1260</v>
          </cell>
          <cell r="K13">
            <v>1125</v>
          </cell>
          <cell r="L13">
            <v>1215</v>
          </cell>
          <cell r="M13">
            <v>1260</v>
          </cell>
          <cell r="N13">
            <v>14355</v>
          </cell>
        </row>
        <row r="14">
          <cell r="B14">
            <v>14400</v>
          </cell>
          <cell r="C14">
            <v>14400</v>
          </cell>
          <cell r="D14">
            <v>14850</v>
          </cell>
          <cell r="E14">
            <v>14850</v>
          </cell>
          <cell r="F14">
            <v>14850</v>
          </cell>
          <cell r="G14">
            <v>15300</v>
          </cell>
          <cell r="H14">
            <v>15300</v>
          </cell>
          <cell r="I14">
            <v>15300</v>
          </cell>
          <cell r="J14">
            <v>15300</v>
          </cell>
          <cell r="K14">
            <v>15300</v>
          </cell>
          <cell r="L14">
            <v>15750</v>
          </cell>
          <cell r="M14">
            <v>15750</v>
          </cell>
          <cell r="N14">
            <v>181350</v>
          </cell>
        </row>
        <row r="15">
          <cell r="B15">
            <v>12825</v>
          </cell>
          <cell r="C15">
            <v>12375</v>
          </cell>
          <cell r="D15">
            <v>13050</v>
          </cell>
          <cell r="E15">
            <v>13500</v>
          </cell>
          <cell r="F15">
            <v>13050</v>
          </cell>
          <cell r="G15">
            <v>13275</v>
          </cell>
          <cell r="H15">
            <v>13500</v>
          </cell>
          <cell r="I15">
            <v>13050</v>
          </cell>
          <cell r="J15">
            <v>13050</v>
          </cell>
          <cell r="K15">
            <v>14175</v>
          </cell>
          <cell r="L15">
            <v>13725</v>
          </cell>
          <cell r="M15">
            <v>13050</v>
          </cell>
          <cell r="N15">
            <v>158625</v>
          </cell>
        </row>
        <row r="16">
          <cell r="B16">
            <v>450</v>
          </cell>
          <cell r="C16">
            <v>540</v>
          </cell>
          <cell r="D16">
            <v>540</v>
          </cell>
          <cell r="E16">
            <v>495</v>
          </cell>
          <cell r="F16">
            <v>540</v>
          </cell>
          <cell r="G16">
            <v>585</v>
          </cell>
          <cell r="H16">
            <v>585</v>
          </cell>
          <cell r="I16">
            <v>540</v>
          </cell>
          <cell r="J16">
            <v>540</v>
          </cell>
          <cell r="K16">
            <v>585</v>
          </cell>
          <cell r="L16">
            <v>540</v>
          </cell>
          <cell r="M16">
            <v>540</v>
          </cell>
          <cell r="N16">
            <v>6480</v>
          </cell>
        </row>
        <row r="17">
          <cell r="B17">
            <v>46747.96</v>
          </cell>
          <cell r="C17">
            <v>41986.119999999995</v>
          </cell>
          <cell r="D17">
            <v>44570.400000000001</v>
          </cell>
          <cell r="E17">
            <v>45260.84</v>
          </cell>
          <cell r="F17">
            <v>45145</v>
          </cell>
          <cell r="G17">
            <v>45604.2</v>
          </cell>
          <cell r="H17">
            <v>46262.2</v>
          </cell>
          <cell r="I17">
            <v>45174</v>
          </cell>
          <cell r="J17">
            <v>45174</v>
          </cell>
          <cell r="K17">
            <v>46147.4</v>
          </cell>
          <cell r="L17">
            <v>46254</v>
          </cell>
          <cell r="M17">
            <v>45624</v>
          </cell>
          <cell r="N17">
            <v>543950.12</v>
          </cell>
        </row>
        <row r="18">
          <cell r="B18">
            <v>101664.04000000001</v>
          </cell>
          <cell r="C18">
            <v>57027.880000000005</v>
          </cell>
          <cell r="D18">
            <v>59184.6</v>
          </cell>
          <cell r="E18">
            <v>65437.16</v>
          </cell>
          <cell r="F18">
            <v>64105</v>
          </cell>
          <cell r="G18">
            <v>61510.8</v>
          </cell>
          <cell r="H18">
            <v>64577.8</v>
          </cell>
          <cell r="I18">
            <v>60501</v>
          </cell>
          <cell r="J18">
            <v>60501</v>
          </cell>
          <cell r="K18">
            <v>66632.600000000006</v>
          </cell>
          <cell r="L18">
            <v>59421</v>
          </cell>
          <cell r="M18">
            <v>60051</v>
          </cell>
          <cell r="N18">
            <v>780613.88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Division%20C%20Budget.xlsx" TargetMode="External"/><Relationship Id="rId2" Type="http://schemas.openxmlformats.org/officeDocument/2006/relationships/externalLinkPath" Target="Division%20B%20Budget.xlsx" TargetMode="External"/><Relationship Id="rId1" Type="http://schemas.openxmlformats.org/officeDocument/2006/relationships/externalLinkPath" Target="Division%20A%20Budg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CA39-2F3C-44C3-AA13-082EB048F856}">
  <dimension ref="A1:O56"/>
  <sheetViews>
    <sheetView tabSelected="1" topLeftCell="A9" workbookViewId="0"/>
  </sheetViews>
  <sheetFormatPr defaultRowHeight="14.5" outlineLevelRow="1" x14ac:dyDescent="0.35"/>
  <cols>
    <col min="1" max="1" width="14.81640625" bestFit="1" customWidth="1"/>
    <col min="2" max="2" width="15.36328125" bestFit="1" customWidth="1"/>
  </cols>
  <sheetData>
    <row r="1" spans="1:15" x14ac:dyDescent="0.3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t="s">
        <v>13</v>
      </c>
    </row>
    <row r="3" spans="1:15" hidden="1" outlineLevel="1" x14ac:dyDescent="0.35">
      <c r="B3" t="s">
        <v>29</v>
      </c>
      <c r="C3" s="1">
        <f>[1]Data!$B$5</f>
        <v>23500</v>
      </c>
      <c r="D3" s="1">
        <f>[1]Data!$C$5</f>
        <v>23000</v>
      </c>
      <c r="E3" s="1">
        <f>[1]Data!$D$5</f>
        <v>24000</v>
      </c>
      <c r="F3" s="1">
        <f>[1]Data!$E$5</f>
        <v>25100</v>
      </c>
      <c r="G3" s="1">
        <f>[1]Data!$F$5</f>
        <v>25000</v>
      </c>
      <c r="H3" s="1">
        <f>[1]Data!$G$5</f>
        <v>25400</v>
      </c>
      <c r="I3" s="1">
        <f>[1]Data!$H$5</f>
        <v>26000</v>
      </c>
      <c r="J3" s="1">
        <f>[1]Data!$I$5</f>
        <v>24000</v>
      </c>
      <c r="K3" s="1">
        <f>[1]Data!$J$5</f>
        <v>24000</v>
      </c>
      <c r="L3" s="1">
        <f>[1]Data!$K$5</f>
        <v>26000</v>
      </c>
      <c r="M3" s="1">
        <f>[1]Data!$L$5</f>
        <v>24000</v>
      </c>
      <c r="N3" s="1">
        <f>[1]Data!$M$5</f>
        <v>24000</v>
      </c>
      <c r="O3" s="1">
        <f>[1]Data!$N$5</f>
        <v>294000</v>
      </c>
    </row>
    <row r="4" spans="1:15" hidden="1" outlineLevel="1" collapsed="1" x14ac:dyDescent="0.35">
      <c r="B4" t="s">
        <v>30</v>
      </c>
      <c r="C4" s="1">
        <f>[3]Data!$B$5</f>
        <v>75000</v>
      </c>
      <c r="D4" s="1">
        <f>[3]Data!$C$5</f>
        <v>27244</v>
      </c>
      <c r="E4" s="1">
        <f>[3]Data!$D$5</f>
        <v>28910</v>
      </c>
      <c r="F4" s="1">
        <f>[3]Data!$E$5</f>
        <v>30380</v>
      </c>
      <c r="G4" s="1">
        <f>[3]Data!$F$5</f>
        <v>29890</v>
      </c>
      <c r="H4" s="1">
        <f>[3]Data!$G$5</f>
        <v>29400</v>
      </c>
      <c r="I4" s="1">
        <f>[3]Data!$H$5</f>
        <v>30380</v>
      </c>
      <c r="J4" s="1">
        <f>[3]Data!$I$5</f>
        <v>28910</v>
      </c>
      <c r="K4" s="1">
        <f>[3]Data!$J$5</f>
        <v>28910</v>
      </c>
      <c r="L4" s="1">
        <f>[3]Data!$K$5</f>
        <v>31360</v>
      </c>
      <c r="M4" s="1">
        <f>[3]Data!$L$5</f>
        <v>28910</v>
      </c>
      <c r="N4" s="1">
        <f>[3]Data!$M$5</f>
        <v>28910</v>
      </c>
      <c r="O4" s="1">
        <f>[3]Data!$N$5</f>
        <v>398204</v>
      </c>
    </row>
    <row r="5" spans="1:15" collapsed="1" x14ac:dyDescent="0.35">
      <c r="A5" t="s">
        <v>14</v>
      </c>
      <c r="C5" s="1">
        <f>SUM(C3:C4)</f>
        <v>98500</v>
      </c>
      <c r="D5" s="1">
        <f>SUM(D3:D4)</f>
        <v>50244</v>
      </c>
      <c r="E5" s="1">
        <f>SUM(E3:E4)</f>
        <v>52910</v>
      </c>
      <c r="F5" s="1">
        <f>SUM(F3:F4)</f>
        <v>55480</v>
      </c>
      <c r="G5" s="1">
        <f>SUM(G3:G4)</f>
        <v>54890</v>
      </c>
      <c r="H5" s="1">
        <f>SUM(H3:H4)</f>
        <v>54800</v>
      </c>
      <c r="I5" s="1">
        <f>SUM(I3:I4)</f>
        <v>56380</v>
      </c>
      <c r="J5" s="1">
        <f>SUM(J3:J4)</f>
        <v>52910</v>
      </c>
      <c r="K5" s="1">
        <f>SUM(K3:K4)</f>
        <v>52910</v>
      </c>
      <c r="L5" s="1">
        <f>SUM(L3:L4)</f>
        <v>57360</v>
      </c>
      <c r="M5" s="1">
        <f>SUM(M3:M4)</f>
        <v>52910</v>
      </c>
      <c r="N5" s="1">
        <f>SUM(N3:N4)</f>
        <v>52910</v>
      </c>
      <c r="O5" s="1">
        <f>SUM(O3:O4)</f>
        <v>692204</v>
      </c>
    </row>
    <row r="6" spans="1:15" hidden="1" outlineLevel="1" x14ac:dyDescent="0.35">
      <c r="B6" t="s">
        <v>29</v>
      </c>
      <c r="C6" s="1">
        <f>[1]Data!$B$6</f>
        <v>28750</v>
      </c>
      <c r="D6" s="1">
        <f>[1]Data!$C$6</f>
        <v>27800</v>
      </c>
      <c r="E6" s="1">
        <f>[1]Data!$D$6</f>
        <v>29500</v>
      </c>
      <c r="F6" s="1">
        <f>[1]Data!$E$6</f>
        <v>31000</v>
      </c>
      <c r="G6" s="1">
        <f>[1]Data!$F$6</f>
        <v>30500</v>
      </c>
      <c r="H6" s="1">
        <f>[1]Data!$G$6</f>
        <v>30000</v>
      </c>
      <c r="I6" s="1">
        <f>[1]Data!$H$6</f>
        <v>31000</v>
      </c>
      <c r="J6" s="1">
        <f>[1]Data!$I$6</f>
        <v>29500</v>
      </c>
      <c r="K6" s="1">
        <f>[1]Data!$J$6</f>
        <v>29500</v>
      </c>
      <c r="L6" s="1">
        <f>[1]Data!$K$6</f>
        <v>32000</v>
      </c>
      <c r="M6" s="1">
        <f>[1]Data!$L$6</f>
        <v>29500</v>
      </c>
      <c r="N6" s="1">
        <f>[1]Data!$M$6</f>
        <v>29500</v>
      </c>
      <c r="O6" s="1">
        <f>[1]Data!$N$6</f>
        <v>358550</v>
      </c>
    </row>
    <row r="7" spans="1:15" hidden="1" outlineLevel="1" collapsed="1" x14ac:dyDescent="0.35">
      <c r="B7" t="s">
        <v>31</v>
      </c>
      <c r="C7" s="1">
        <f>[2]Data!$B$4</f>
        <v>24700</v>
      </c>
      <c r="D7" s="1">
        <f>[2]Data!$C$4</f>
        <v>24250</v>
      </c>
      <c r="E7" s="1">
        <f>[2]Data!$D$4</f>
        <v>25000</v>
      </c>
      <c r="F7" s="1">
        <f>[2]Data!$E$4</f>
        <v>26500</v>
      </c>
      <c r="G7" s="1">
        <f>[2]Data!$F$4</f>
        <v>26250</v>
      </c>
      <c r="H7" s="1">
        <f>[2]Data!$G$4</f>
        <v>26670</v>
      </c>
      <c r="I7" s="1">
        <f>[2]Data!$H$4</f>
        <v>27300</v>
      </c>
      <c r="J7" s="1">
        <f>[2]Data!$I$4</f>
        <v>25200</v>
      </c>
      <c r="K7" s="1">
        <f>[2]Data!$J$4</f>
        <v>25200</v>
      </c>
      <c r="L7" s="1">
        <f>[2]Data!$K$4</f>
        <v>27300</v>
      </c>
      <c r="M7" s="1">
        <f>[2]Data!$L$4</f>
        <v>25200</v>
      </c>
      <c r="N7" s="1">
        <f>[2]Data!$M$4</f>
        <v>25200</v>
      </c>
      <c r="O7" s="1">
        <f>[2]Data!$N$4</f>
        <v>308770</v>
      </c>
    </row>
    <row r="8" spans="1:15" hidden="1" outlineLevel="1" collapsed="1" x14ac:dyDescent="0.35">
      <c r="B8" t="s">
        <v>30</v>
      </c>
      <c r="C8" s="1">
        <f>[3]Data!$B$4</f>
        <v>23000</v>
      </c>
      <c r="D8" s="1">
        <f>[3]Data!$C$4</f>
        <v>22500</v>
      </c>
      <c r="E8" s="1">
        <f>[3]Data!$D$4</f>
        <v>23500</v>
      </c>
      <c r="F8" s="1">
        <f>[3]Data!$E$4</f>
        <v>25000</v>
      </c>
      <c r="G8" s="1">
        <f>[3]Data!$F$4</f>
        <v>24500</v>
      </c>
      <c r="H8" s="1">
        <f>[3]Data!$G$4</f>
        <v>24750</v>
      </c>
      <c r="I8" s="1">
        <f>[3]Data!$H$4</f>
        <v>25500</v>
      </c>
      <c r="J8" s="1">
        <f>[3]Data!$I$4</f>
        <v>23520</v>
      </c>
      <c r="K8" s="1">
        <f>[3]Data!$J$4</f>
        <v>23520</v>
      </c>
      <c r="L8" s="1">
        <f>[3]Data!$K$4</f>
        <v>25480</v>
      </c>
      <c r="M8" s="1">
        <f>[3]Data!$L$4</f>
        <v>23520</v>
      </c>
      <c r="N8" s="1">
        <f>[3]Data!$M$4</f>
        <v>23520</v>
      </c>
      <c r="O8" s="1">
        <f>[3]Data!$N$4</f>
        <v>288310</v>
      </c>
    </row>
    <row r="9" spans="1:15" collapsed="1" x14ac:dyDescent="0.35">
      <c r="A9" t="s">
        <v>15</v>
      </c>
      <c r="C9" s="1">
        <f>SUM(C6:C8)</f>
        <v>76450</v>
      </c>
      <c r="D9" s="1">
        <f>SUM(D6:D8)</f>
        <v>74550</v>
      </c>
      <c r="E9" s="1">
        <f>SUM(E6:E8)</f>
        <v>78000</v>
      </c>
      <c r="F9" s="1">
        <f>SUM(F6:F8)</f>
        <v>82500</v>
      </c>
      <c r="G9" s="1">
        <f>SUM(G6:G8)</f>
        <v>81250</v>
      </c>
      <c r="H9" s="1">
        <f>SUM(H6:H8)</f>
        <v>81420</v>
      </c>
      <c r="I9" s="1">
        <f>SUM(I6:I8)</f>
        <v>83800</v>
      </c>
      <c r="J9" s="1">
        <f>SUM(J6:J8)</f>
        <v>78220</v>
      </c>
      <c r="K9" s="1">
        <f>SUM(K6:K8)</f>
        <v>78220</v>
      </c>
      <c r="L9" s="1">
        <f>SUM(L6:L8)</f>
        <v>84780</v>
      </c>
      <c r="M9" s="1">
        <f>SUM(M6:M8)</f>
        <v>78220</v>
      </c>
      <c r="N9" s="1">
        <f>SUM(N6:N8)</f>
        <v>78220</v>
      </c>
      <c r="O9" s="1">
        <f>SUM(O6:O8)</f>
        <v>955630</v>
      </c>
    </row>
    <row r="10" spans="1:15" hidden="1" outlineLevel="1" x14ac:dyDescent="0.35">
      <c r="B10" t="s">
        <v>29</v>
      </c>
      <c r="C10" s="1">
        <f>[1]Data!$B$7</f>
        <v>24400</v>
      </c>
      <c r="D10" s="1">
        <f>[1]Data!$C$7</f>
        <v>24000</v>
      </c>
      <c r="E10" s="1">
        <f>[1]Data!$D$7</f>
        <v>25250</v>
      </c>
      <c r="F10" s="1">
        <f>[1]Data!$E$7</f>
        <v>26600</v>
      </c>
      <c r="G10" s="1">
        <f>[1]Data!$F$7</f>
        <v>27000</v>
      </c>
      <c r="H10" s="1">
        <f>[1]Data!$G$7</f>
        <v>26750</v>
      </c>
      <c r="I10" s="1">
        <f>[1]Data!$H$7</f>
        <v>27000</v>
      </c>
      <c r="J10" s="1">
        <f>[1]Data!$I$7</f>
        <v>25250</v>
      </c>
      <c r="K10" s="1">
        <f>[1]Data!$J$7</f>
        <v>25250</v>
      </c>
      <c r="L10" s="1">
        <f>[1]Data!$K$7</f>
        <v>28000</v>
      </c>
      <c r="M10" s="1">
        <f>[1]Data!$L$7</f>
        <v>25250</v>
      </c>
      <c r="N10" s="1">
        <f>[1]Data!$M$7</f>
        <v>25250</v>
      </c>
      <c r="O10" s="1">
        <f>[1]Data!$N$7</f>
        <v>310000</v>
      </c>
    </row>
    <row r="11" spans="1:15" hidden="1" outlineLevel="1" collapsed="1" x14ac:dyDescent="0.35">
      <c r="B11" t="s">
        <v>30</v>
      </c>
      <c r="C11" s="1">
        <f>[3]Data!$B$6</f>
        <v>26500</v>
      </c>
      <c r="D11" s="1">
        <f>[3]Data!$C$6</f>
        <v>25750</v>
      </c>
      <c r="E11" s="1">
        <f>[3]Data!$D$6</f>
        <v>26600</v>
      </c>
      <c r="F11" s="1">
        <f>[3]Data!$E$6</f>
        <v>29250</v>
      </c>
      <c r="G11" s="1">
        <f>[3]Data!$F$6</f>
        <v>28400</v>
      </c>
      <c r="H11" s="1">
        <f>[3]Data!$G$6</f>
        <v>26750</v>
      </c>
      <c r="I11" s="1">
        <f>[3]Data!$H$6</f>
        <v>28500</v>
      </c>
      <c r="J11" s="1">
        <f>[3]Data!$I$6</f>
        <v>28500</v>
      </c>
      <c r="K11" s="1">
        <f>[3]Data!$J$6</f>
        <v>28500</v>
      </c>
      <c r="L11" s="1">
        <f>[3]Data!$K$6</f>
        <v>28500</v>
      </c>
      <c r="M11" s="1">
        <f>[3]Data!$L$6</f>
        <v>28500</v>
      </c>
      <c r="N11" s="1">
        <f>[3]Data!$M$6</f>
        <v>28500</v>
      </c>
      <c r="O11" s="1">
        <f>[3]Data!$N$6</f>
        <v>334250</v>
      </c>
    </row>
    <row r="12" spans="1:15" collapsed="1" x14ac:dyDescent="0.35">
      <c r="A12" t="s">
        <v>16</v>
      </c>
      <c r="C12" s="1">
        <f>SUM(C10:C11)</f>
        <v>50900</v>
      </c>
      <c r="D12" s="1">
        <f>SUM(D10:D11)</f>
        <v>49750</v>
      </c>
      <c r="E12" s="1">
        <f>SUM(E10:E11)</f>
        <v>51850</v>
      </c>
      <c r="F12" s="1">
        <f>SUM(F10:F11)</f>
        <v>55850</v>
      </c>
      <c r="G12" s="1">
        <f>SUM(G10:G11)</f>
        <v>55400</v>
      </c>
      <c r="H12" s="1">
        <f>SUM(H10:H11)</f>
        <v>53500</v>
      </c>
      <c r="I12" s="1">
        <f>SUM(I10:I11)</f>
        <v>55500</v>
      </c>
      <c r="J12" s="1">
        <f>SUM(J10:J11)</f>
        <v>53750</v>
      </c>
      <c r="K12" s="1">
        <f>SUM(K10:K11)</f>
        <v>53750</v>
      </c>
      <c r="L12" s="1">
        <f>SUM(L10:L11)</f>
        <v>56500</v>
      </c>
      <c r="M12" s="1">
        <f>SUM(M10:M11)</f>
        <v>53750</v>
      </c>
      <c r="N12" s="1">
        <f>SUM(N10:N11)</f>
        <v>53750</v>
      </c>
      <c r="O12" s="1">
        <f>SUM(O10:O11)</f>
        <v>644250</v>
      </c>
    </row>
    <row r="13" spans="1:15" hidden="1" outlineLevel="1" x14ac:dyDescent="0.35">
      <c r="B13" t="s">
        <v>31</v>
      </c>
      <c r="C13" s="1">
        <f>[2]Data!$B$5</f>
        <v>25620</v>
      </c>
      <c r="D13" s="1">
        <f>[2]Data!$C$5</f>
        <v>25200</v>
      </c>
      <c r="E13" s="1">
        <f>[2]Data!$D$5</f>
        <v>26512.5</v>
      </c>
      <c r="F13" s="1">
        <f>[2]Data!$E$5</f>
        <v>27930</v>
      </c>
      <c r="G13" s="1">
        <f>[2]Data!$F$5</f>
        <v>28350</v>
      </c>
      <c r="H13" s="1">
        <f>[2]Data!$G$5</f>
        <v>28087.5</v>
      </c>
      <c r="I13" s="1">
        <f>[2]Data!$H$5</f>
        <v>28350</v>
      </c>
      <c r="J13" s="1">
        <f>[2]Data!$I$5</f>
        <v>26512.5</v>
      </c>
      <c r="K13" s="1">
        <f>[2]Data!$J$5</f>
        <v>26512.5</v>
      </c>
      <c r="L13" s="1">
        <f>[2]Data!$K$5</f>
        <v>29400</v>
      </c>
      <c r="M13" s="1">
        <f>[2]Data!$L$5</f>
        <v>26512.5</v>
      </c>
      <c r="N13" s="1">
        <f>[2]Data!$M$5</f>
        <v>26512.5</v>
      </c>
      <c r="O13" s="1">
        <f>[2]Data!$N$5</f>
        <v>325500</v>
      </c>
    </row>
    <row r="14" spans="1:15" hidden="1" outlineLevel="1" collapsed="1" x14ac:dyDescent="0.35">
      <c r="B14" t="s">
        <v>30</v>
      </c>
      <c r="C14" s="1">
        <f>[3]Data!$B$7</f>
        <v>23912</v>
      </c>
      <c r="D14" s="1">
        <f>[3]Data!$C$7</f>
        <v>23520</v>
      </c>
      <c r="E14" s="1">
        <f>[3]Data!$D$7</f>
        <v>24745</v>
      </c>
      <c r="F14" s="1">
        <f>[3]Data!$E$7</f>
        <v>26068</v>
      </c>
      <c r="G14" s="1">
        <f>[3]Data!$F$7</f>
        <v>26460</v>
      </c>
      <c r="H14" s="1">
        <f>[3]Data!$G$7</f>
        <v>26215</v>
      </c>
      <c r="I14" s="1">
        <f>[3]Data!$H$7</f>
        <v>26460</v>
      </c>
      <c r="J14" s="1">
        <f>[3]Data!$I$7</f>
        <v>24745</v>
      </c>
      <c r="K14" s="1">
        <f>[3]Data!$J$7</f>
        <v>24745</v>
      </c>
      <c r="L14" s="1">
        <f>[3]Data!$K$7</f>
        <v>27440</v>
      </c>
      <c r="M14" s="1">
        <f>[3]Data!$L$7</f>
        <v>24745</v>
      </c>
      <c r="N14" s="1">
        <f>[3]Data!$M$7</f>
        <v>24745</v>
      </c>
      <c r="O14" s="1">
        <f>[3]Data!$N$7</f>
        <v>303800</v>
      </c>
    </row>
    <row r="15" spans="1:15" collapsed="1" x14ac:dyDescent="0.35">
      <c r="A15" t="s">
        <v>17</v>
      </c>
      <c r="C15" s="1">
        <f>SUM(C13:C14)</f>
        <v>49532</v>
      </c>
      <c r="D15" s="1">
        <f>SUM(D13:D14)</f>
        <v>48720</v>
      </c>
      <c r="E15" s="1">
        <f>SUM(E13:E14)</f>
        <v>51257.5</v>
      </c>
      <c r="F15" s="1">
        <f>SUM(F13:F14)</f>
        <v>53998</v>
      </c>
      <c r="G15" s="1">
        <f>SUM(G13:G14)</f>
        <v>54810</v>
      </c>
      <c r="H15" s="1">
        <f>SUM(H13:H14)</f>
        <v>54302.5</v>
      </c>
      <c r="I15" s="1">
        <f>SUM(I13:I14)</f>
        <v>54810</v>
      </c>
      <c r="J15" s="1">
        <f>SUM(J13:J14)</f>
        <v>51257.5</v>
      </c>
      <c r="K15" s="1">
        <f>SUM(K13:K14)</f>
        <v>51257.5</v>
      </c>
      <c r="L15" s="1">
        <f>SUM(L13:L14)</f>
        <v>56840</v>
      </c>
      <c r="M15" s="1">
        <f>SUM(M13:M14)</f>
        <v>51257.5</v>
      </c>
      <c r="N15" s="1">
        <f>SUM(N13:N14)</f>
        <v>51257.5</v>
      </c>
      <c r="O15" s="1">
        <f>SUM(O13:O14)</f>
        <v>629300</v>
      </c>
    </row>
    <row r="16" spans="1:15" hidden="1" outlineLevel="1" x14ac:dyDescent="0.35">
      <c r="B16" t="s">
        <v>29</v>
      </c>
      <c r="C16" s="1">
        <f>[1]Data!$B$8</f>
        <v>76650</v>
      </c>
      <c r="D16" s="1">
        <f>[1]Data!$C$8</f>
        <v>74800</v>
      </c>
      <c r="E16" s="1">
        <f>[1]Data!$D$8</f>
        <v>78750</v>
      </c>
      <c r="F16" s="1">
        <f>[1]Data!$E$8</f>
        <v>82700</v>
      </c>
      <c r="G16" s="1">
        <f>[1]Data!$F$8</f>
        <v>82500</v>
      </c>
      <c r="H16" s="1">
        <f>[1]Data!$G$8</f>
        <v>82150</v>
      </c>
      <c r="I16" s="1">
        <f>[1]Data!$H$8</f>
        <v>84000</v>
      </c>
      <c r="J16" s="1">
        <f>[1]Data!$I$8</f>
        <v>78750</v>
      </c>
      <c r="K16" s="1">
        <f>[1]Data!$J$8</f>
        <v>78750</v>
      </c>
      <c r="L16" s="1">
        <f>[1]Data!$K$8</f>
        <v>86000</v>
      </c>
      <c r="M16" s="1">
        <f>[1]Data!$L$8</f>
        <v>78750</v>
      </c>
      <c r="N16" s="1">
        <f>[1]Data!$M$8</f>
        <v>78750</v>
      </c>
      <c r="O16" s="1">
        <f>[1]Data!$N$8</f>
        <v>962550</v>
      </c>
    </row>
    <row r="17" spans="1:15" hidden="1" outlineLevel="1" collapsed="1" x14ac:dyDescent="0.35">
      <c r="B17" t="s">
        <v>31</v>
      </c>
      <c r="C17" s="1">
        <f>[2]Data!$B$6</f>
        <v>50320</v>
      </c>
      <c r="D17" s="1">
        <f>[2]Data!$C$6</f>
        <v>49450</v>
      </c>
      <c r="E17" s="1">
        <f>[2]Data!$D$6</f>
        <v>51512.5</v>
      </c>
      <c r="F17" s="1">
        <f>[2]Data!$E$6</f>
        <v>54430</v>
      </c>
      <c r="G17" s="1">
        <f>[2]Data!$F$6</f>
        <v>54600</v>
      </c>
      <c r="H17" s="1">
        <f>[2]Data!$G$6</f>
        <v>54757.5</v>
      </c>
      <c r="I17" s="1">
        <f>[2]Data!$H$6</f>
        <v>55650</v>
      </c>
      <c r="J17" s="1">
        <f>[2]Data!$I$6</f>
        <v>51712.5</v>
      </c>
      <c r="K17" s="1">
        <f>[2]Data!$J$6</f>
        <v>51712.5</v>
      </c>
      <c r="L17" s="1">
        <f>[2]Data!$K$6</f>
        <v>56700</v>
      </c>
      <c r="M17" s="1">
        <f>[2]Data!$L$6</f>
        <v>51712.5</v>
      </c>
      <c r="N17" s="1">
        <f>[2]Data!$M$6</f>
        <v>51712.5</v>
      </c>
      <c r="O17" s="1">
        <f>[2]Data!$N$6</f>
        <v>634270</v>
      </c>
    </row>
    <row r="18" spans="1:15" hidden="1" outlineLevel="1" collapsed="1" x14ac:dyDescent="0.35">
      <c r="B18" t="s">
        <v>30</v>
      </c>
      <c r="C18" s="1">
        <f>[3]Data!$B$8</f>
        <v>148412</v>
      </c>
      <c r="D18" s="1">
        <f>[3]Data!$C$8</f>
        <v>99014</v>
      </c>
      <c r="E18" s="1">
        <f>[3]Data!$D$8</f>
        <v>103755</v>
      </c>
      <c r="F18" s="1">
        <f>[3]Data!$E$8</f>
        <v>110698</v>
      </c>
      <c r="G18" s="1">
        <f>[3]Data!$F$8</f>
        <v>109250</v>
      </c>
      <c r="H18" s="1">
        <f>[3]Data!$G$8</f>
        <v>107115</v>
      </c>
      <c r="I18" s="1">
        <f>[3]Data!$H$8</f>
        <v>110840</v>
      </c>
      <c r="J18" s="1">
        <f>[3]Data!$I$8</f>
        <v>105675</v>
      </c>
      <c r="K18" s="1">
        <f>[3]Data!$J$8</f>
        <v>105675</v>
      </c>
      <c r="L18" s="1">
        <f>[3]Data!$K$8</f>
        <v>112780</v>
      </c>
      <c r="M18" s="1">
        <f>[3]Data!$L$8</f>
        <v>105675</v>
      </c>
      <c r="N18" s="1">
        <f>[3]Data!$M$8</f>
        <v>105675</v>
      </c>
      <c r="O18" s="1">
        <f>[3]Data!$N$8</f>
        <v>1324564</v>
      </c>
    </row>
    <row r="19" spans="1:15" collapsed="1" x14ac:dyDescent="0.35">
      <c r="A19" t="s">
        <v>18</v>
      </c>
      <c r="C19" s="1">
        <f>SUM(C16:C18)</f>
        <v>275382</v>
      </c>
      <c r="D19" s="1">
        <f>SUM(D16:D18)</f>
        <v>223264</v>
      </c>
      <c r="E19" s="1">
        <f>SUM(E16:E18)</f>
        <v>234017.5</v>
      </c>
      <c r="F19" s="1">
        <f>SUM(F16:F18)</f>
        <v>247828</v>
      </c>
      <c r="G19" s="1">
        <f>SUM(G16:G18)</f>
        <v>246350</v>
      </c>
      <c r="H19" s="1">
        <f>SUM(H16:H18)</f>
        <v>244022.5</v>
      </c>
      <c r="I19" s="1">
        <f>SUM(I16:I18)</f>
        <v>250490</v>
      </c>
      <c r="J19" s="1">
        <f>SUM(J16:J18)</f>
        <v>236137.5</v>
      </c>
      <c r="K19" s="1">
        <f>SUM(K16:K18)</f>
        <v>236137.5</v>
      </c>
      <c r="L19" s="1">
        <f>SUM(L16:L18)</f>
        <v>255480</v>
      </c>
      <c r="M19" s="1">
        <f>SUM(M16:M18)</f>
        <v>236137.5</v>
      </c>
      <c r="N19" s="1">
        <f>SUM(N16:N18)</f>
        <v>236137.5</v>
      </c>
      <c r="O19" s="1">
        <f>SUM(O16:O18)</f>
        <v>2921384</v>
      </c>
    </row>
    <row r="20" spans="1:15" x14ac:dyDescent="0.35">
      <c r="A20" t="s">
        <v>19</v>
      </c>
    </row>
    <row r="21" spans="1:15" hidden="1" outlineLevel="1" x14ac:dyDescent="0.35">
      <c r="B21" t="s">
        <v>29</v>
      </c>
      <c r="C21" s="1">
        <f>[1]Data!$B$10</f>
        <v>6132</v>
      </c>
      <c r="D21" s="1">
        <f>[1]Data!$C$10</f>
        <v>5984</v>
      </c>
      <c r="E21" s="1">
        <f>[1]Data!$D$10</f>
        <v>6300</v>
      </c>
      <c r="F21" s="1">
        <f>[1]Data!$E$10</f>
        <v>6616</v>
      </c>
      <c r="G21" s="1">
        <f>[1]Data!$F$10</f>
        <v>6600</v>
      </c>
      <c r="H21" s="1">
        <f>[1]Data!$G$10</f>
        <v>6572</v>
      </c>
      <c r="I21" s="1">
        <f>[1]Data!$H$10</f>
        <v>6720</v>
      </c>
      <c r="J21" s="1">
        <f>[1]Data!$I$10</f>
        <v>6300</v>
      </c>
      <c r="K21" s="1">
        <f>[1]Data!$J$10</f>
        <v>6300</v>
      </c>
      <c r="L21" s="1">
        <f>[1]Data!$K$10</f>
        <v>6880</v>
      </c>
      <c r="M21" s="1">
        <f>[1]Data!$L$10</f>
        <v>6300</v>
      </c>
      <c r="N21" s="1">
        <f>[1]Data!$M$10</f>
        <v>6300</v>
      </c>
      <c r="O21" s="1">
        <f>[1]Data!$N$10</f>
        <v>77004</v>
      </c>
    </row>
    <row r="22" spans="1:15" hidden="1" outlineLevel="1" collapsed="1" x14ac:dyDescent="0.35">
      <c r="B22" t="s">
        <v>31</v>
      </c>
      <c r="C22" s="1">
        <f>[2]Data!$B$8</f>
        <v>4025.6</v>
      </c>
      <c r="D22" s="1">
        <f>[2]Data!$C$8</f>
        <v>3956</v>
      </c>
      <c r="E22" s="1">
        <f>[2]Data!$D$8</f>
        <v>4121</v>
      </c>
      <c r="F22" s="1">
        <f>[2]Data!$E$8</f>
        <v>4354.3999999999996</v>
      </c>
      <c r="G22" s="1">
        <f>[2]Data!$F$8</f>
        <v>4368</v>
      </c>
      <c r="H22" s="1">
        <f>[2]Data!$G$8</f>
        <v>4380.6000000000004</v>
      </c>
      <c r="I22" s="1">
        <f>[2]Data!$H$8</f>
        <v>4452</v>
      </c>
      <c r="J22" s="1">
        <f>[2]Data!$I$8</f>
        <v>4137</v>
      </c>
      <c r="K22" s="1">
        <f>[2]Data!$J$8</f>
        <v>4137</v>
      </c>
      <c r="L22" s="1">
        <f>[2]Data!$K$8</f>
        <v>4536</v>
      </c>
      <c r="M22" s="1">
        <f>[2]Data!$L$8</f>
        <v>4137</v>
      </c>
      <c r="N22" s="1">
        <f>[2]Data!$M$8</f>
        <v>4137</v>
      </c>
      <c r="O22" s="1">
        <f>[2]Data!$N$8</f>
        <v>50741.599999999999</v>
      </c>
    </row>
    <row r="23" spans="1:15" hidden="1" outlineLevel="1" collapsed="1" x14ac:dyDescent="0.35">
      <c r="B23" t="s">
        <v>30</v>
      </c>
      <c r="C23" s="1">
        <f>[3]Data!$B$10</f>
        <v>11872.960000000001</v>
      </c>
      <c r="D23" s="1">
        <f>[3]Data!$C$10</f>
        <v>7921.12</v>
      </c>
      <c r="E23" s="1">
        <f>[3]Data!$D$10</f>
        <v>8300.4</v>
      </c>
      <c r="F23" s="1">
        <f>[3]Data!$E$10</f>
        <v>8855.84</v>
      </c>
      <c r="G23" s="1">
        <f>[3]Data!$F$10</f>
        <v>8740</v>
      </c>
      <c r="H23" s="1">
        <f>[3]Data!$G$10</f>
        <v>8569.2000000000007</v>
      </c>
      <c r="I23" s="1">
        <f>[3]Data!$H$10</f>
        <v>8867.2000000000007</v>
      </c>
      <c r="J23" s="1">
        <f>[3]Data!$I$10</f>
        <v>8454</v>
      </c>
      <c r="K23" s="1">
        <f>[3]Data!$J$10</f>
        <v>8454</v>
      </c>
      <c r="L23" s="1">
        <f>[3]Data!$K$10</f>
        <v>9022.4</v>
      </c>
      <c r="M23" s="1">
        <f>[3]Data!$L$10</f>
        <v>8454</v>
      </c>
      <c r="N23" s="1">
        <f>[3]Data!$M$10</f>
        <v>8454</v>
      </c>
      <c r="O23" s="1">
        <f>[3]Data!$N$10</f>
        <v>105965.12</v>
      </c>
    </row>
    <row r="24" spans="1:15" collapsed="1" x14ac:dyDescent="0.35">
      <c r="A24" t="s">
        <v>20</v>
      </c>
      <c r="C24" s="1">
        <f>SUM(C21:C23)</f>
        <v>22030.560000000001</v>
      </c>
      <c r="D24" s="1">
        <f>SUM(D21:D23)</f>
        <v>17861.12</v>
      </c>
      <c r="E24" s="1">
        <f>SUM(E21:E23)</f>
        <v>18721.400000000001</v>
      </c>
      <c r="F24" s="1">
        <f>SUM(F21:F23)</f>
        <v>19826.239999999998</v>
      </c>
      <c r="G24" s="1">
        <f>SUM(G21:G23)</f>
        <v>19708</v>
      </c>
      <c r="H24" s="1">
        <f>SUM(H21:H23)</f>
        <v>19521.800000000003</v>
      </c>
      <c r="I24" s="1">
        <f>SUM(I21:I23)</f>
        <v>20039.2</v>
      </c>
      <c r="J24" s="1">
        <f>SUM(J21:J23)</f>
        <v>18891</v>
      </c>
      <c r="K24" s="1">
        <f>SUM(K21:K23)</f>
        <v>18891</v>
      </c>
      <c r="L24" s="1">
        <f>SUM(L21:L23)</f>
        <v>20438.400000000001</v>
      </c>
      <c r="M24" s="1">
        <f>SUM(M21:M23)</f>
        <v>18891</v>
      </c>
      <c r="N24" s="1">
        <f>SUM(N21:N23)</f>
        <v>18891</v>
      </c>
      <c r="O24" s="1">
        <f>SUM(O21:O23)</f>
        <v>233710.72</v>
      </c>
    </row>
    <row r="25" spans="1:15" hidden="1" outlineLevel="1" x14ac:dyDescent="0.35">
      <c r="B25" t="s">
        <v>29</v>
      </c>
      <c r="C25" s="1">
        <f>[1]Data!$B$11</f>
        <v>4600</v>
      </c>
      <c r="D25" s="1">
        <f>[1]Data!$C$11</f>
        <v>4200</v>
      </c>
      <c r="E25" s="1">
        <f>[1]Data!$D$11</f>
        <v>5200</v>
      </c>
      <c r="F25" s="1">
        <f>[1]Data!$E$11</f>
        <v>5000</v>
      </c>
      <c r="G25" s="1">
        <f>[1]Data!$F$11</f>
        <v>5500</v>
      </c>
      <c r="H25" s="1">
        <f>[1]Data!$G$11</f>
        <v>5250</v>
      </c>
      <c r="I25" s="1">
        <f>[1]Data!$H$11</f>
        <v>5500</v>
      </c>
      <c r="J25" s="1">
        <f>[1]Data!$I$11</f>
        <v>5200</v>
      </c>
      <c r="K25" s="1">
        <f>[1]Data!$J$11</f>
        <v>5200</v>
      </c>
      <c r="L25" s="1">
        <f>[1]Data!$K$11</f>
        <v>4500</v>
      </c>
      <c r="M25" s="1">
        <f>[1]Data!$L$11</f>
        <v>5200</v>
      </c>
      <c r="N25" s="1">
        <f>[1]Data!$M$11</f>
        <v>5200</v>
      </c>
      <c r="O25" s="1">
        <f>[1]Data!$N$11</f>
        <v>60550</v>
      </c>
    </row>
    <row r="26" spans="1:15" hidden="1" outlineLevel="1" collapsed="1" x14ac:dyDescent="0.35">
      <c r="B26" t="s">
        <v>31</v>
      </c>
      <c r="C26" s="1">
        <f>[2]Data!$B$9</f>
        <v>4738</v>
      </c>
      <c r="D26" s="1">
        <f>[2]Data!$C$9</f>
        <v>4326</v>
      </c>
      <c r="E26" s="1">
        <f>[2]Data!$D$9</f>
        <v>5356</v>
      </c>
      <c r="F26" s="1">
        <f>[2]Data!$E$9</f>
        <v>5150</v>
      </c>
      <c r="G26" s="1">
        <f>[2]Data!$F$9</f>
        <v>5665</v>
      </c>
      <c r="H26" s="1">
        <f>[2]Data!$G$9</f>
        <v>5407.5</v>
      </c>
      <c r="I26" s="1">
        <f>[2]Data!$H$9</f>
        <v>5665</v>
      </c>
      <c r="J26" s="1">
        <f>[2]Data!$I$9</f>
        <v>5356</v>
      </c>
      <c r="K26" s="1">
        <f>[2]Data!$J$9</f>
        <v>5356</v>
      </c>
      <c r="L26" s="1">
        <f>[2]Data!$K$9</f>
        <v>4635</v>
      </c>
      <c r="M26" s="1">
        <f>[2]Data!$L$9</f>
        <v>5356</v>
      </c>
      <c r="N26" s="1">
        <f>[2]Data!$M$9</f>
        <v>5356</v>
      </c>
      <c r="O26" s="1">
        <f>[2]Data!$N$9</f>
        <v>62366.5</v>
      </c>
    </row>
    <row r="27" spans="1:15" hidden="1" outlineLevel="1" collapsed="1" x14ac:dyDescent="0.35">
      <c r="B27" t="s">
        <v>30</v>
      </c>
      <c r="C27" s="1">
        <f>[3]Data!$B$11</f>
        <v>4140</v>
      </c>
      <c r="D27" s="1">
        <f>[3]Data!$C$11</f>
        <v>3780</v>
      </c>
      <c r="E27" s="1">
        <f>[3]Data!$D$11</f>
        <v>4680</v>
      </c>
      <c r="F27" s="1">
        <f>[3]Data!$E$11</f>
        <v>4500</v>
      </c>
      <c r="G27" s="1">
        <f>[3]Data!$F$11</f>
        <v>4950</v>
      </c>
      <c r="H27" s="1">
        <f>[3]Data!$G$11</f>
        <v>4725</v>
      </c>
      <c r="I27" s="1">
        <f>[3]Data!$H$11</f>
        <v>4950</v>
      </c>
      <c r="J27" s="1">
        <f>[3]Data!$I$11</f>
        <v>4680</v>
      </c>
      <c r="K27" s="1">
        <f>[3]Data!$J$11</f>
        <v>4680</v>
      </c>
      <c r="L27" s="1">
        <f>[3]Data!$K$11</f>
        <v>4050</v>
      </c>
      <c r="M27" s="1">
        <f>[3]Data!$L$11</f>
        <v>4680</v>
      </c>
      <c r="N27" s="1">
        <f>[3]Data!$M$11</f>
        <v>4680</v>
      </c>
      <c r="O27" s="1">
        <f>[3]Data!$N$11</f>
        <v>54495</v>
      </c>
    </row>
    <row r="28" spans="1:15" collapsed="1" x14ac:dyDescent="0.35">
      <c r="A28" t="s">
        <v>21</v>
      </c>
      <c r="C28" s="1">
        <f>SUM(C25:C27)</f>
        <v>13478</v>
      </c>
      <c r="D28" s="1">
        <f>SUM(D25:D27)</f>
        <v>12306</v>
      </c>
      <c r="E28" s="1">
        <f>SUM(E25:E27)</f>
        <v>15236</v>
      </c>
      <c r="F28" s="1">
        <f>SUM(F25:F27)</f>
        <v>14650</v>
      </c>
      <c r="G28" s="1">
        <f>SUM(G25:G27)</f>
        <v>16115</v>
      </c>
      <c r="H28" s="1">
        <f>SUM(H25:H27)</f>
        <v>15382.5</v>
      </c>
      <c r="I28" s="1">
        <f>SUM(I25:I27)</f>
        <v>16115</v>
      </c>
      <c r="J28" s="1">
        <f>SUM(J25:J27)</f>
        <v>15236</v>
      </c>
      <c r="K28" s="1">
        <f>SUM(K25:K27)</f>
        <v>15236</v>
      </c>
      <c r="L28" s="1">
        <f>SUM(L25:L27)</f>
        <v>13185</v>
      </c>
      <c r="M28" s="1">
        <f>SUM(M25:M27)</f>
        <v>15236</v>
      </c>
      <c r="N28" s="1">
        <f>SUM(N25:N27)</f>
        <v>15236</v>
      </c>
      <c r="O28" s="1">
        <f>SUM(O25:O27)</f>
        <v>177411.5</v>
      </c>
    </row>
    <row r="29" spans="1:15" hidden="1" outlineLevel="1" x14ac:dyDescent="0.35">
      <c r="B29" t="s">
        <v>29</v>
      </c>
      <c r="C29" s="1">
        <f>[1]Data!$B$12</f>
        <v>2100</v>
      </c>
      <c r="D29" s="1">
        <f>[1]Data!$C$12</f>
        <v>2100</v>
      </c>
      <c r="E29" s="1">
        <f>[1]Data!$D$12</f>
        <v>2100</v>
      </c>
      <c r="F29" s="1">
        <f>[1]Data!$E$12</f>
        <v>2100</v>
      </c>
      <c r="G29" s="1">
        <f>[1]Data!$F$12</f>
        <v>2100</v>
      </c>
      <c r="H29" s="1">
        <f>[1]Data!$G$12</f>
        <v>2100</v>
      </c>
      <c r="I29" s="1">
        <f>[1]Data!$H$12</f>
        <v>2100</v>
      </c>
      <c r="J29" s="1">
        <f>[1]Data!$I$12</f>
        <v>2100</v>
      </c>
      <c r="K29" s="1">
        <f>[1]Data!$J$12</f>
        <v>2100</v>
      </c>
      <c r="L29" s="1">
        <f>[1]Data!$K$12</f>
        <v>2100</v>
      </c>
      <c r="M29" s="1">
        <f>[1]Data!$L$12</f>
        <v>2100</v>
      </c>
      <c r="N29" s="1">
        <f>[1]Data!$M$12</f>
        <v>2100</v>
      </c>
      <c r="O29" s="1">
        <f>[1]Data!$N$12</f>
        <v>25200</v>
      </c>
    </row>
    <row r="30" spans="1:15" hidden="1" outlineLevel="1" collapsed="1" x14ac:dyDescent="0.35">
      <c r="B30" t="s">
        <v>31</v>
      </c>
      <c r="C30" s="1">
        <f>[2]Data!$B$10</f>
        <v>2163</v>
      </c>
      <c r="D30" s="1">
        <f>[2]Data!$C$10</f>
        <v>2163</v>
      </c>
      <c r="E30" s="1">
        <f>[2]Data!$D$10</f>
        <v>2163</v>
      </c>
      <c r="F30" s="1">
        <f>[2]Data!$E$10</f>
        <v>2163</v>
      </c>
      <c r="G30" s="1">
        <f>[2]Data!$F$10</f>
        <v>2163</v>
      </c>
      <c r="H30" s="1">
        <f>[2]Data!$G$10</f>
        <v>2163</v>
      </c>
      <c r="I30" s="1">
        <f>[2]Data!$H$10</f>
        <v>2163</v>
      </c>
      <c r="J30" s="1">
        <f>[2]Data!$I$10</f>
        <v>2163</v>
      </c>
      <c r="K30" s="1">
        <f>[2]Data!$J$10</f>
        <v>2163</v>
      </c>
      <c r="L30" s="1">
        <f>[2]Data!$K$10</f>
        <v>2163</v>
      </c>
      <c r="M30" s="1">
        <f>[2]Data!$L$10</f>
        <v>2163</v>
      </c>
      <c r="N30" s="1">
        <f>[2]Data!$M$10</f>
        <v>2163</v>
      </c>
      <c r="O30" s="1">
        <f>[2]Data!$N$10</f>
        <v>25956</v>
      </c>
    </row>
    <row r="31" spans="1:15" hidden="1" outlineLevel="1" collapsed="1" x14ac:dyDescent="0.35">
      <c r="B31" t="s">
        <v>30</v>
      </c>
      <c r="C31" s="1">
        <f>[3]Data!$B$12</f>
        <v>1890</v>
      </c>
      <c r="D31" s="1">
        <f>[3]Data!$C$12</f>
        <v>1890</v>
      </c>
      <c r="E31" s="1">
        <f>[3]Data!$D$12</f>
        <v>1890</v>
      </c>
      <c r="F31" s="1">
        <f>[3]Data!$E$12</f>
        <v>1890</v>
      </c>
      <c r="G31" s="1">
        <f>[3]Data!$F$12</f>
        <v>1890</v>
      </c>
      <c r="H31" s="1">
        <f>[3]Data!$G$12</f>
        <v>1890</v>
      </c>
      <c r="I31" s="1">
        <f>[3]Data!$H$12</f>
        <v>1890</v>
      </c>
      <c r="J31" s="1">
        <f>[3]Data!$I$12</f>
        <v>1890</v>
      </c>
      <c r="K31" s="1">
        <f>[3]Data!$J$12</f>
        <v>1890</v>
      </c>
      <c r="L31" s="1">
        <f>[3]Data!$K$12</f>
        <v>1890</v>
      </c>
      <c r="M31" s="1">
        <f>[3]Data!$L$12</f>
        <v>1890</v>
      </c>
      <c r="N31" s="1">
        <f>[3]Data!$M$12</f>
        <v>1890</v>
      </c>
      <c r="O31" s="1">
        <f>[3]Data!$N$12</f>
        <v>22680</v>
      </c>
    </row>
    <row r="32" spans="1:15" collapsed="1" x14ac:dyDescent="0.35">
      <c r="A32" t="s">
        <v>22</v>
      </c>
      <c r="C32" s="1">
        <f>SUM(C29:C31)</f>
        <v>6153</v>
      </c>
      <c r="D32" s="1">
        <f>SUM(D29:D31)</f>
        <v>6153</v>
      </c>
      <c r="E32" s="1">
        <f>SUM(E29:E31)</f>
        <v>6153</v>
      </c>
      <c r="F32" s="1">
        <f>SUM(F29:F31)</f>
        <v>6153</v>
      </c>
      <c r="G32" s="1">
        <f>SUM(G29:G31)</f>
        <v>6153</v>
      </c>
      <c r="H32" s="1">
        <f>SUM(H29:H31)</f>
        <v>6153</v>
      </c>
      <c r="I32" s="1">
        <f>SUM(I29:I31)</f>
        <v>6153</v>
      </c>
      <c r="J32" s="1">
        <f>SUM(J29:J31)</f>
        <v>6153</v>
      </c>
      <c r="K32" s="1">
        <f>SUM(K29:K31)</f>
        <v>6153</v>
      </c>
      <c r="L32" s="1">
        <f>SUM(L29:L31)</f>
        <v>6153</v>
      </c>
      <c r="M32" s="1">
        <f>SUM(M29:M31)</f>
        <v>6153</v>
      </c>
      <c r="N32" s="1">
        <f>SUM(N29:N31)</f>
        <v>6153</v>
      </c>
      <c r="O32" s="1">
        <f>SUM(O29:O31)</f>
        <v>73836</v>
      </c>
    </row>
    <row r="33" spans="1:15" hidden="1" outlineLevel="1" x14ac:dyDescent="0.35">
      <c r="B33" t="s">
        <v>29</v>
      </c>
      <c r="C33" s="1">
        <f>[1]Data!$B$13</f>
        <v>1300</v>
      </c>
      <c r="D33" s="1">
        <f>[1]Data!$C$13</f>
        <v>1200</v>
      </c>
      <c r="E33" s="1">
        <f>[1]Data!$D$13</f>
        <v>1400</v>
      </c>
      <c r="F33" s="1">
        <f>[1]Data!$E$13</f>
        <v>1300</v>
      </c>
      <c r="G33" s="1">
        <f>[1]Data!$F$13</f>
        <v>1250</v>
      </c>
      <c r="H33" s="1">
        <f>[1]Data!$G$13</f>
        <v>1400</v>
      </c>
      <c r="I33" s="1">
        <f>[1]Data!$H$13</f>
        <v>1300</v>
      </c>
      <c r="J33" s="1">
        <f>[1]Data!$I$13</f>
        <v>1400</v>
      </c>
      <c r="K33" s="1">
        <f>[1]Data!$J$13</f>
        <v>1400</v>
      </c>
      <c r="L33" s="1">
        <f>[1]Data!$K$13</f>
        <v>1250</v>
      </c>
      <c r="M33" s="1">
        <f>[1]Data!$L$13</f>
        <v>1350</v>
      </c>
      <c r="N33" s="1">
        <f>[1]Data!$M$13</f>
        <v>1400</v>
      </c>
      <c r="O33" s="1">
        <f>[1]Data!$N$13</f>
        <v>15950</v>
      </c>
    </row>
    <row r="34" spans="1:15" hidden="1" outlineLevel="1" collapsed="1" x14ac:dyDescent="0.35">
      <c r="B34" t="s">
        <v>31</v>
      </c>
      <c r="C34" s="1">
        <f>[2]Data!$B$11</f>
        <v>1339</v>
      </c>
      <c r="D34" s="1">
        <f>[2]Data!$C$11</f>
        <v>1236</v>
      </c>
      <c r="E34" s="1">
        <f>[2]Data!$D$11</f>
        <v>1442</v>
      </c>
      <c r="F34" s="1">
        <f>[2]Data!$E$11</f>
        <v>1339</v>
      </c>
      <c r="G34" s="1">
        <f>[2]Data!$F$11</f>
        <v>1287.5</v>
      </c>
      <c r="H34" s="1">
        <f>[2]Data!$G$11</f>
        <v>1442</v>
      </c>
      <c r="I34" s="1">
        <f>[2]Data!$H$11</f>
        <v>1339</v>
      </c>
      <c r="J34" s="1">
        <f>[2]Data!$I$11</f>
        <v>1442</v>
      </c>
      <c r="K34" s="1">
        <f>[2]Data!$J$11</f>
        <v>1442</v>
      </c>
      <c r="L34" s="1">
        <f>[2]Data!$K$11</f>
        <v>1287.5</v>
      </c>
      <c r="M34" s="1">
        <f>[2]Data!$L$11</f>
        <v>1390.5</v>
      </c>
      <c r="N34" s="1">
        <f>[2]Data!$M$11</f>
        <v>1442</v>
      </c>
      <c r="O34" s="1">
        <f>[2]Data!$N$11</f>
        <v>16428.5</v>
      </c>
    </row>
    <row r="35" spans="1:15" hidden="1" outlineLevel="1" collapsed="1" x14ac:dyDescent="0.35">
      <c r="B35" t="s">
        <v>30</v>
      </c>
      <c r="C35" s="1">
        <f>[3]Data!$B$13</f>
        <v>1170</v>
      </c>
      <c r="D35" s="1">
        <f>[3]Data!$C$13</f>
        <v>1080</v>
      </c>
      <c r="E35" s="1">
        <f>[3]Data!$D$13</f>
        <v>1260</v>
      </c>
      <c r="F35" s="1">
        <f>[3]Data!$E$13</f>
        <v>1170</v>
      </c>
      <c r="G35" s="1">
        <f>[3]Data!$F$13</f>
        <v>1125</v>
      </c>
      <c r="H35" s="1">
        <f>[3]Data!$G$13</f>
        <v>1260</v>
      </c>
      <c r="I35" s="1">
        <f>[3]Data!$H$13</f>
        <v>1170</v>
      </c>
      <c r="J35" s="1">
        <f>[3]Data!$I$13</f>
        <v>1260</v>
      </c>
      <c r="K35" s="1">
        <f>[3]Data!$J$13</f>
        <v>1260</v>
      </c>
      <c r="L35" s="1">
        <f>[3]Data!$K$13</f>
        <v>1125</v>
      </c>
      <c r="M35" s="1">
        <f>[3]Data!$L$13</f>
        <v>1215</v>
      </c>
      <c r="N35" s="1">
        <f>[3]Data!$M$13</f>
        <v>1260</v>
      </c>
      <c r="O35" s="1">
        <f>[3]Data!$N$13</f>
        <v>14355</v>
      </c>
    </row>
    <row r="36" spans="1:15" collapsed="1" x14ac:dyDescent="0.35">
      <c r="A36" t="s">
        <v>23</v>
      </c>
      <c r="C36" s="1">
        <f>SUM(C33:C35)</f>
        <v>3809</v>
      </c>
      <c r="D36" s="1">
        <f>SUM(D33:D35)</f>
        <v>3516</v>
      </c>
      <c r="E36" s="1">
        <f>SUM(E33:E35)</f>
        <v>4102</v>
      </c>
      <c r="F36" s="1">
        <f>SUM(F33:F35)</f>
        <v>3809</v>
      </c>
      <c r="G36" s="1">
        <f>SUM(G33:G35)</f>
        <v>3662.5</v>
      </c>
      <c r="H36" s="1">
        <f>SUM(H33:H35)</f>
        <v>4102</v>
      </c>
      <c r="I36" s="1">
        <f>SUM(I33:I35)</f>
        <v>3809</v>
      </c>
      <c r="J36" s="1">
        <f>SUM(J33:J35)</f>
        <v>4102</v>
      </c>
      <c r="K36" s="1">
        <f>SUM(K33:K35)</f>
        <v>4102</v>
      </c>
      <c r="L36" s="1">
        <f>SUM(L33:L35)</f>
        <v>3662.5</v>
      </c>
      <c r="M36" s="1">
        <f>SUM(M33:M35)</f>
        <v>3955.5</v>
      </c>
      <c r="N36" s="1">
        <f>SUM(N33:N35)</f>
        <v>4102</v>
      </c>
      <c r="O36" s="1">
        <f>SUM(O33:O35)</f>
        <v>46733.5</v>
      </c>
    </row>
    <row r="37" spans="1:15" hidden="1" outlineLevel="1" x14ac:dyDescent="0.35">
      <c r="B37" t="s">
        <v>29</v>
      </c>
      <c r="C37" s="1">
        <f>[1]Data!$B$14</f>
        <v>16000</v>
      </c>
      <c r="D37" s="1">
        <f>[1]Data!$C$14</f>
        <v>16000</v>
      </c>
      <c r="E37" s="1">
        <f>[1]Data!$D$14</f>
        <v>16500</v>
      </c>
      <c r="F37" s="1">
        <f>[1]Data!$E$14</f>
        <v>16500</v>
      </c>
      <c r="G37" s="1">
        <f>[1]Data!$F$14</f>
        <v>16500</v>
      </c>
      <c r="H37" s="1">
        <f>[1]Data!$G$14</f>
        <v>17000</v>
      </c>
      <c r="I37" s="1">
        <f>[1]Data!$H$14</f>
        <v>17000</v>
      </c>
      <c r="J37" s="1">
        <f>[1]Data!$I$14</f>
        <v>17000</v>
      </c>
      <c r="K37" s="1">
        <f>[1]Data!$J$14</f>
        <v>17000</v>
      </c>
      <c r="L37" s="1">
        <f>[1]Data!$K$14</f>
        <v>17000</v>
      </c>
      <c r="M37" s="1">
        <f>[1]Data!$L$14</f>
        <v>17500</v>
      </c>
      <c r="N37" s="1">
        <f>[1]Data!$M$14</f>
        <v>17500</v>
      </c>
      <c r="O37" s="1">
        <f>[1]Data!$N$14</f>
        <v>201500</v>
      </c>
    </row>
    <row r="38" spans="1:15" hidden="1" outlineLevel="1" collapsed="1" x14ac:dyDescent="0.35">
      <c r="B38" t="s">
        <v>31</v>
      </c>
      <c r="C38" s="1">
        <f>[2]Data!$B$12</f>
        <v>16480</v>
      </c>
      <c r="D38" s="1">
        <f>[2]Data!$C$12</f>
        <v>16480</v>
      </c>
      <c r="E38" s="1">
        <f>[2]Data!$D$12</f>
        <v>16995</v>
      </c>
      <c r="F38" s="1">
        <f>[2]Data!$E$12</f>
        <v>16995</v>
      </c>
      <c r="G38" s="1">
        <f>[2]Data!$F$12</f>
        <v>16995</v>
      </c>
      <c r="H38" s="1">
        <f>[2]Data!$G$12</f>
        <v>17510</v>
      </c>
      <c r="I38" s="1">
        <f>[2]Data!$H$12</f>
        <v>17510</v>
      </c>
      <c r="J38" s="1">
        <f>[2]Data!$I$12</f>
        <v>17510</v>
      </c>
      <c r="K38" s="1">
        <f>[2]Data!$J$12</f>
        <v>17510</v>
      </c>
      <c r="L38" s="1">
        <f>[2]Data!$K$12</f>
        <v>17510</v>
      </c>
      <c r="M38" s="1">
        <f>[2]Data!$L$12</f>
        <v>18025</v>
      </c>
      <c r="N38" s="1">
        <f>[2]Data!$M$12</f>
        <v>18025</v>
      </c>
      <c r="O38" s="1">
        <f>[2]Data!$N$12</f>
        <v>207545</v>
      </c>
    </row>
    <row r="39" spans="1:15" hidden="1" outlineLevel="1" collapsed="1" x14ac:dyDescent="0.35">
      <c r="B39" t="s">
        <v>30</v>
      </c>
      <c r="C39" s="1">
        <f>[3]Data!$B$14</f>
        <v>14400</v>
      </c>
      <c r="D39" s="1">
        <f>[3]Data!$C$14</f>
        <v>14400</v>
      </c>
      <c r="E39" s="1">
        <f>[3]Data!$D$14</f>
        <v>14850</v>
      </c>
      <c r="F39" s="1">
        <f>[3]Data!$E$14</f>
        <v>14850</v>
      </c>
      <c r="G39" s="1">
        <f>[3]Data!$F$14</f>
        <v>14850</v>
      </c>
      <c r="H39" s="1">
        <f>[3]Data!$G$14</f>
        <v>15300</v>
      </c>
      <c r="I39" s="1">
        <f>[3]Data!$H$14</f>
        <v>15300</v>
      </c>
      <c r="J39" s="1">
        <f>[3]Data!$I$14</f>
        <v>15300</v>
      </c>
      <c r="K39" s="1">
        <f>[3]Data!$J$14</f>
        <v>15300</v>
      </c>
      <c r="L39" s="1">
        <f>[3]Data!$K$14</f>
        <v>15300</v>
      </c>
      <c r="M39" s="1">
        <f>[3]Data!$L$14</f>
        <v>15750</v>
      </c>
      <c r="N39" s="1">
        <f>[3]Data!$M$14</f>
        <v>15750</v>
      </c>
      <c r="O39" s="1">
        <f>[3]Data!$N$14</f>
        <v>181350</v>
      </c>
    </row>
    <row r="40" spans="1:15" collapsed="1" x14ac:dyDescent="0.35">
      <c r="A40" t="s">
        <v>24</v>
      </c>
      <c r="C40" s="1">
        <f>SUM(C37:C39)</f>
        <v>46880</v>
      </c>
      <c r="D40" s="1">
        <f>SUM(D37:D39)</f>
        <v>46880</v>
      </c>
      <c r="E40" s="1">
        <f>SUM(E37:E39)</f>
        <v>48345</v>
      </c>
      <c r="F40" s="1">
        <f>SUM(F37:F39)</f>
        <v>48345</v>
      </c>
      <c r="G40" s="1">
        <f>SUM(G37:G39)</f>
        <v>48345</v>
      </c>
      <c r="H40" s="1">
        <f>SUM(H37:H39)</f>
        <v>49810</v>
      </c>
      <c r="I40" s="1">
        <f>SUM(I37:I39)</f>
        <v>49810</v>
      </c>
      <c r="J40" s="1">
        <f>SUM(J37:J39)</f>
        <v>49810</v>
      </c>
      <c r="K40" s="1">
        <f>SUM(K37:K39)</f>
        <v>49810</v>
      </c>
      <c r="L40" s="1">
        <f>SUM(L37:L39)</f>
        <v>49810</v>
      </c>
      <c r="M40" s="1">
        <f>SUM(M37:M39)</f>
        <v>51275</v>
      </c>
      <c r="N40" s="1">
        <f>SUM(N37:N39)</f>
        <v>51275</v>
      </c>
      <c r="O40" s="1">
        <f>SUM(O37:O39)</f>
        <v>590395</v>
      </c>
    </row>
    <row r="41" spans="1:15" hidden="1" outlineLevel="1" x14ac:dyDescent="0.35">
      <c r="B41" t="s">
        <v>29</v>
      </c>
      <c r="C41" s="1">
        <f>[1]Data!$B$15</f>
        <v>14250</v>
      </c>
      <c r="D41" s="1">
        <f>[1]Data!$C$15</f>
        <v>13750</v>
      </c>
      <c r="E41" s="1">
        <f>[1]Data!$D$15</f>
        <v>14500</v>
      </c>
      <c r="F41" s="1">
        <f>[1]Data!$E$15</f>
        <v>15000</v>
      </c>
      <c r="G41" s="1">
        <f>[1]Data!$F$15</f>
        <v>14500</v>
      </c>
      <c r="H41" s="1">
        <f>[1]Data!$G$15</f>
        <v>14750</v>
      </c>
      <c r="I41" s="1">
        <f>[1]Data!$H$15</f>
        <v>15000</v>
      </c>
      <c r="J41" s="1">
        <f>[1]Data!$I$15</f>
        <v>14500</v>
      </c>
      <c r="K41" s="1">
        <f>[1]Data!$J$15</f>
        <v>14500</v>
      </c>
      <c r="L41" s="1">
        <f>[1]Data!$K$15</f>
        <v>15750</v>
      </c>
      <c r="M41" s="1">
        <f>[1]Data!$L$15</f>
        <v>15250</v>
      </c>
      <c r="N41" s="1">
        <f>[1]Data!$M$15</f>
        <v>14500</v>
      </c>
      <c r="O41" s="1">
        <f>[1]Data!$N$15</f>
        <v>176250</v>
      </c>
    </row>
    <row r="42" spans="1:15" hidden="1" outlineLevel="1" collapsed="1" x14ac:dyDescent="0.35">
      <c r="B42" t="s">
        <v>31</v>
      </c>
      <c r="C42" s="1">
        <f>[2]Data!$B$13</f>
        <v>14677.5</v>
      </c>
      <c r="D42" s="1">
        <f>[2]Data!$C$13</f>
        <v>14162.5</v>
      </c>
      <c r="E42" s="1">
        <f>[2]Data!$D$13</f>
        <v>14935</v>
      </c>
      <c r="F42" s="1">
        <f>[2]Data!$E$13</f>
        <v>15450</v>
      </c>
      <c r="G42" s="1">
        <f>[2]Data!$F$13</f>
        <v>14935</v>
      </c>
      <c r="H42" s="1">
        <f>[2]Data!$G$13</f>
        <v>15192.5</v>
      </c>
      <c r="I42" s="1">
        <f>[2]Data!$H$13</f>
        <v>15450</v>
      </c>
      <c r="J42" s="1">
        <f>[2]Data!$I$13</f>
        <v>14935</v>
      </c>
      <c r="K42" s="1">
        <f>[2]Data!$J$13</f>
        <v>14935</v>
      </c>
      <c r="L42" s="1">
        <f>[2]Data!$K$13</f>
        <v>16222.5</v>
      </c>
      <c r="M42" s="1">
        <f>[2]Data!$L$13</f>
        <v>15707.5</v>
      </c>
      <c r="N42" s="1">
        <f>[2]Data!$M$13</f>
        <v>14935</v>
      </c>
      <c r="O42" s="1">
        <f>[2]Data!$N$13</f>
        <v>181537.5</v>
      </c>
    </row>
    <row r="43" spans="1:15" hidden="1" outlineLevel="1" collapsed="1" x14ac:dyDescent="0.35">
      <c r="B43" t="s">
        <v>30</v>
      </c>
      <c r="C43" s="1">
        <f>[3]Data!$B$15</f>
        <v>12825</v>
      </c>
      <c r="D43" s="1">
        <f>[3]Data!$C$15</f>
        <v>12375</v>
      </c>
      <c r="E43" s="1">
        <f>[3]Data!$D$15</f>
        <v>13050</v>
      </c>
      <c r="F43" s="1">
        <f>[3]Data!$E$15</f>
        <v>13500</v>
      </c>
      <c r="G43" s="1">
        <f>[3]Data!$F$15</f>
        <v>13050</v>
      </c>
      <c r="H43" s="1">
        <f>[3]Data!$G$15</f>
        <v>13275</v>
      </c>
      <c r="I43" s="1">
        <f>[3]Data!$H$15</f>
        <v>13500</v>
      </c>
      <c r="J43" s="1">
        <f>[3]Data!$I$15</f>
        <v>13050</v>
      </c>
      <c r="K43" s="1">
        <f>[3]Data!$J$15</f>
        <v>13050</v>
      </c>
      <c r="L43" s="1">
        <f>[3]Data!$K$15</f>
        <v>14175</v>
      </c>
      <c r="M43" s="1">
        <f>[3]Data!$L$15</f>
        <v>13725</v>
      </c>
      <c r="N43" s="1">
        <f>[3]Data!$M$15</f>
        <v>13050</v>
      </c>
      <c r="O43" s="1">
        <f>[3]Data!$N$15</f>
        <v>158625</v>
      </c>
    </row>
    <row r="44" spans="1:15" collapsed="1" x14ac:dyDescent="0.35">
      <c r="A44" t="s">
        <v>25</v>
      </c>
      <c r="C44" s="1">
        <f>SUM(C41:C43)</f>
        <v>41752.5</v>
      </c>
      <c r="D44" s="1">
        <f>SUM(D41:D43)</f>
        <v>40287.5</v>
      </c>
      <c r="E44" s="1">
        <f>SUM(E41:E43)</f>
        <v>42485</v>
      </c>
      <c r="F44" s="1">
        <f>SUM(F41:F43)</f>
        <v>43950</v>
      </c>
      <c r="G44" s="1">
        <f>SUM(G41:G43)</f>
        <v>42485</v>
      </c>
      <c r="H44" s="1">
        <f>SUM(H41:H43)</f>
        <v>43217.5</v>
      </c>
      <c r="I44" s="1">
        <f>SUM(I41:I43)</f>
        <v>43950</v>
      </c>
      <c r="J44" s="1">
        <f>SUM(J41:J43)</f>
        <v>42485</v>
      </c>
      <c r="K44" s="1">
        <f>SUM(K41:K43)</f>
        <v>42485</v>
      </c>
      <c r="L44" s="1">
        <f>SUM(L41:L43)</f>
        <v>46147.5</v>
      </c>
      <c r="M44" s="1">
        <f>SUM(M41:M43)</f>
        <v>44682.5</v>
      </c>
      <c r="N44" s="1">
        <f>SUM(N41:N43)</f>
        <v>42485</v>
      </c>
      <c r="O44" s="1">
        <f>SUM(O41:O43)</f>
        <v>516412.5</v>
      </c>
    </row>
    <row r="45" spans="1:15" hidden="1" outlineLevel="1" x14ac:dyDescent="0.35">
      <c r="B45" t="s">
        <v>29</v>
      </c>
      <c r="C45" s="1">
        <f>[1]Data!$B$16</f>
        <v>500</v>
      </c>
      <c r="D45" s="1">
        <f>[1]Data!$C$16</f>
        <v>600</v>
      </c>
      <c r="E45" s="1">
        <f>[1]Data!$D$16</f>
        <v>600</v>
      </c>
      <c r="F45" s="1">
        <f>[1]Data!$E$16</f>
        <v>550</v>
      </c>
      <c r="G45" s="1">
        <f>[1]Data!$F$16</f>
        <v>600</v>
      </c>
      <c r="H45" s="1">
        <f>[1]Data!$G$16</f>
        <v>650</v>
      </c>
      <c r="I45" s="1">
        <f>[1]Data!$H$16</f>
        <v>650</v>
      </c>
      <c r="J45" s="1">
        <f>[1]Data!$I$16</f>
        <v>600</v>
      </c>
      <c r="K45" s="1">
        <f>[1]Data!$J$16</f>
        <v>600</v>
      </c>
      <c r="L45" s="1">
        <f>[1]Data!$K$16</f>
        <v>650</v>
      </c>
      <c r="M45" s="1">
        <f>[1]Data!$L$16</f>
        <v>600</v>
      </c>
      <c r="N45" s="1">
        <f>[1]Data!$M$16</f>
        <v>600</v>
      </c>
      <c r="O45" s="1">
        <f>[1]Data!$N$16</f>
        <v>7200</v>
      </c>
    </row>
    <row r="46" spans="1:15" hidden="1" outlineLevel="1" collapsed="1" x14ac:dyDescent="0.35">
      <c r="B46" t="s">
        <v>31</v>
      </c>
      <c r="C46" s="1">
        <f>[2]Data!$B$14</f>
        <v>515</v>
      </c>
      <c r="D46" s="1">
        <f>[2]Data!$C$14</f>
        <v>618</v>
      </c>
      <c r="E46" s="1">
        <f>[2]Data!$D$14</f>
        <v>618</v>
      </c>
      <c r="F46" s="1">
        <f>[2]Data!$E$14</f>
        <v>566.5</v>
      </c>
      <c r="G46" s="1">
        <f>[2]Data!$F$14</f>
        <v>618</v>
      </c>
      <c r="H46" s="1">
        <f>[2]Data!$G$14</f>
        <v>669.5</v>
      </c>
      <c r="I46" s="1">
        <f>[2]Data!$H$14</f>
        <v>669.5</v>
      </c>
      <c r="J46" s="1">
        <f>[2]Data!$I$14</f>
        <v>618</v>
      </c>
      <c r="K46" s="1">
        <f>[2]Data!$J$14</f>
        <v>618</v>
      </c>
      <c r="L46" s="1">
        <f>[2]Data!$K$14</f>
        <v>669.5</v>
      </c>
      <c r="M46" s="1">
        <f>[2]Data!$L$14</f>
        <v>618</v>
      </c>
      <c r="N46" s="1">
        <f>[2]Data!$M$14</f>
        <v>618</v>
      </c>
      <c r="O46" s="1">
        <f>[2]Data!$N$14</f>
        <v>7416</v>
      </c>
    </row>
    <row r="47" spans="1:15" hidden="1" outlineLevel="1" collapsed="1" x14ac:dyDescent="0.35">
      <c r="B47" t="s">
        <v>30</v>
      </c>
      <c r="C47" s="1">
        <f>[3]Data!$B$16</f>
        <v>450</v>
      </c>
      <c r="D47" s="1">
        <f>[3]Data!$C$16</f>
        <v>540</v>
      </c>
      <c r="E47" s="1">
        <f>[3]Data!$D$16</f>
        <v>540</v>
      </c>
      <c r="F47" s="1">
        <f>[3]Data!$E$16</f>
        <v>495</v>
      </c>
      <c r="G47" s="1">
        <f>[3]Data!$F$16</f>
        <v>540</v>
      </c>
      <c r="H47" s="1">
        <f>[3]Data!$G$16</f>
        <v>585</v>
      </c>
      <c r="I47" s="1">
        <f>[3]Data!$H$16</f>
        <v>585</v>
      </c>
      <c r="J47" s="1">
        <f>[3]Data!$I$16</f>
        <v>540</v>
      </c>
      <c r="K47" s="1">
        <f>[3]Data!$J$16</f>
        <v>540</v>
      </c>
      <c r="L47" s="1">
        <f>[3]Data!$K$16</f>
        <v>585</v>
      </c>
      <c r="M47" s="1">
        <f>[3]Data!$L$16</f>
        <v>540</v>
      </c>
      <c r="N47" s="1">
        <f>[3]Data!$M$16</f>
        <v>540</v>
      </c>
      <c r="O47" s="1">
        <f>[3]Data!$N$16</f>
        <v>6480</v>
      </c>
    </row>
    <row r="48" spans="1:15" collapsed="1" x14ac:dyDescent="0.35">
      <c r="A48" t="s">
        <v>26</v>
      </c>
      <c r="C48" s="1">
        <f>SUM(C45:C47)</f>
        <v>1465</v>
      </c>
      <c r="D48" s="1">
        <f>SUM(D45:D47)</f>
        <v>1758</v>
      </c>
      <c r="E48" s="1">
        <f>SUM(E45:E47)</f>
        <v>1758</v>
      </c>
      <c r="F48" s="1">
        <f>SUM(F45:F47)</f>
        <v>1611.5</v>
      </c>
      <c r="G48" s="1">
        <f>SUM(G45:G47)</f>
        <v>1758</v>
      </c>
      <c r="H48" s="1">
        <f>SUM(H45:H47)</f>
        <v>1904.5</v>
      </c>
      <c r="I48" s="1">
        <f>SUM(I45:I47)</f>
        <v>1904.5</v>
      </c>
      <c r="J48" s="1">
        <f>SUM(J45:J47)</f>
        <v>1758</v>
      </c>
      <c r="K48" s="1">
        <f>SUM(K45:K47)</f>
        <v>1758</v>
      </c>
      <c r="L48" s="1">
        <f>SUM(L45:L47)</f>
        <v>1904.5</v>
      </c>
      <c r="M48" s="1">
        <f>SUM(M45:M47)</f>
        <v>1758</v>
      </c>
      <c r="N48" s="1">
        <f>SUM(N45:N47)</f>
        <v>1758</v>
      </c>
      <c r="O48" s="1">
        <f>SUM(O45:O47)</f>
        <v>21096</v>
      </c>
    </row>
    <row r="49" spans="1:15" hidden="1" outlineLevel="1" x14ac:dyDescent="0.35">
      <c r="B49" t="s">
        <v>29</v>
      </c>
      <c r="C49" s="1">
        <f>[1]Data!$B$17</f>
        <v>44882</v>
      </c>
      <c r="D49" s="1">
        <f>[1]Data!$C$17</f>
        <v>43834</v>
      </c>
      <c r="E49" s="1">
        <f>[1]Data!$D$17</f>
        <v>46600</v>
      </c>
      <c r="F49" s="1">
        <f>[1]Data!$E$17</f>
        <v>47066</v>
      </c>
      <c r="G49" s="1">
        <f>[1]Data!$F$17</f>
        <v>47050</v>
      </c>
      <c r="H49" s="1">
        <f>[1]Data!$G$17</f>
        <v>47722</v>
      </c>
      <c r="I49" s="1">
        <f>[1]Data!$H$17</f>
        <v>48270</v>
      </c>
      <c r="J49" s="1">
        <f>[1]Data!$I$17</f>
        <v>47100</v>
      </c>
      <c r="K49" s="1">
        <f>[1]Data!$J$17</f>
        <v>47100</v>
      </c>
      <c r="L49" s="1">
        <f>[1]Data!$K$17</f>
        <v>48130</v>
      </c>
      <c r="M49" s="1">
        <f>[1]Data!$L$17</f>
        <v>48300</v>
      </c>
      <c r="N49" s="1">
        <f>[1]Data!$M$17</f>
        <v>47600</v>
      </c>
      <c r="O49" s="1">
        <f>[1]Data!$N$17</f>
        <v>563654</v>
      </c>
    </row>
    <row r="50" spans="1:15" hidden="1" outlineLevel="1" collapsed="1" x14ac:dyDescent="0.35">
      <c r="B50" t="s">
        <v>31</v>
      </c>
      <c r="C50" s="1">
        <f>[2]Data!$B$15</f>
        <v>43938.1</v>
      </c>
      <c r="D50" s="1">
        <f>[2]Data!$C$15</f>
        <v>42941.5</v>
      </c>
      <c r="E50" s="1">
        <f>[2]Data!$D$15</f>
        <v>45630</v>
      </c>
      <c r="F50" s="1">
        <f>[2]Data!$E$15</f>
        <v>46017.9</v>
      </c>
      <c r="G50" s="1">
        <f>[2]Data!$F$15</f>
        <v>46031.5</v>
      </c>
      <c r="H50" s="1">
        <f>[2]Data!$G$15</f>
        <v>46765.1</v>
      </c>
      <c r="I50" s="1">
        <f>[2]Data!$H$15</f>
        <v>47248.5</v>
      </c>
      <c r="J50" s="1">
        <f>[2]Data!$I$15</f>
        <v>46161</v>
      </c>
      <c r="K50" s="1">
        <f>[2]Data!$J$15</f>
        <v>46161</v>
      </c>
      <c r="L50" s="1">
        <f>[2]Data!$K$15</f>
        <v>47023.5</v>
      </c>
      <c r="M50" s="1">
        <f>[2]Data!$L$15</f>
        <v>47397</v>
      </c>
      <c r="N50" s="1">
        <f>[2]Data!$M$15</f>
        <v>46676</v>
      </c>
      <c r="O50" s="1">
        <f>[2]Data!$N$15</f>
        <v>551991.1</v>
      </c>
    </row>
    <row r="51" spans="1:15" hidden="1" outlineLevel="1" collapsed="1" x14ac:dyDescent="0.35">
      <c r="B51" t="s">
        <v>30</v>
      </c>
      <c r="C51" s="1">
        <f>[3]Data!$B$17</f>
        <v>46747.96</v>
      </c>
      <c r="D51" s="1">
        <f>[3]Data!$C$17</f>
        <v>41986.119999999995</v>
      </c>
      <c r="E51" s="1">
        <f>[3]Data!$D$17</f>
        <v>44570.400000000001</v>
      </c>
      <c r="F51" s="1">
        <f>[3]Data!$E$17</f>
        <v>45260.84</v>
      </c>
      <c r="G51" s="1">
        <f>[3]Data!$F$17</f>
        <v>45145</v>
      </c>
      <c r="H51" s="1">
        <f>[3]Data!$G$17</f>
        <v>45604.2</v>
      </c>
      <c r="I51" s="1">
        <f>[3]Data!$H$17</f>
        <v>46262.2</v>
      </c>
      <c r="J51" s="1">
        <f>[3]Data!$I$17</f>
        <v>45174</v>
      </c>
      <c r="K51" s="1">
        <f>[3]Data!$J$17</f>
        <v>45174</v>
      </c>
      <c r="L51" s="1">
        <f>[3]Data!$K$17</f>
        <v>46147.4</v>
      </c>
      <c r="M51" s="1">
        <f>[3]Data!$L$17</f>
        <v>46254</v>
      </c>
      <c r="N51" s="1">
        <f>[3]Data!$M$17</f>
        <v>45624</v>
      </c>
      <c r="O51" s="1">
        <f>[3]Data!$N$17</f>
        <v>543950.12</v>
      </c>
    </row>
    <row r="52" spans="1:15" collapsed="1" x14ac:dyDescent="0.35">
      <c r="A52" t="s">
        <v>27</v>
      </c>
      <c r="C52" s="1">
        <f>SUM(C49:C51)</f>
        <v>135568.06</v>
      </c>
      <c r="D52" s="1">
        <f>SUM(D49:D51)</f>
        <v>128761.62</v>
      </c>
      <c r="E52" s="1">
        <f>SUM(E49:E51)</f>
        <v>136800.4</v>
      </c>
      <c r="F52" s="1">
        <f>SUM(F49:F51)</f>
        <v>138344.74</v>
      </c>
      <c r="G52" s="1">
        <f>SUM(G49:G51)</f>
        <v>138226.5</v>
      </c>
      <c r="H52" s="1">
        <f>SUM(H49:H51)</f>
        <v>140091.29999999999</v>
      </c>
      <c r="I52" s="1">
        <f>SUM(I49:I51)</f>
        <v>141780.70000000001</v>
      </c>
      <c r="J52" s="1">
        <f>SUM(J49:J51)</f>
        <v>138435</v>
      </c>
      <c r="K52" s="1">
        <f>SUM(K49:K51)</f>
        <v>138435</v>
      </c>
      <c r="L52" s="1">
        <f>SUM(L49:L51)</f>
        <v>141300.9</v>
      </c>
      <c r="M52" s="1">
        <f>SUM(M49:M51)</f>
        <v>141951</v>
      </c>
      <c r="N52" s="1">
        <f>SUM(N49:N51)</f>
        <v>139900</v>
      </c>
      <c r="O52" s="1">
        <f>SUM(O49:O51)</f>
        <v>1659595.2200000002</v>
      </c>
    </row>
    <row r="53" spans="1:15" hidden="1" outlineLevel="1" x14ac:dyDescent="0.35">
      <c r="B53" t="s">
        <v>29</v>
      </c>
      <c r="C53" s="1">
        <f>[1]Data!$B$18</f>
        <v>31768</v>
      </c>
      <c r="D53" s="1">
        <f>[1]Data!$C$18</f>
        <v>30966</v>
      </c>
      <c r="E53" s="1">
        <f>[1]Data!$D$18</f>
        <v>32150</v>
      </c>
      <c r="F53" s="1">
        <f>[1]Data!$E$18</f>
        <v>35634</v>
      </c>
      <c r="G53" s="1">
        <f>[1]Data!$F$18</f>
        <v>35450</v>
      </c>
      <c r="H53" s="1">
        <f>[1]Data!$G$18</f>
        <v>34428</v>
      </c>
      <c r="I53" s="1">
        <f>[1]Data!$H$18</f>
        <v>35730</v>
      </c>
      <c r="J53" s="1">
        <f>[1]Data!$I$18</f>
        <v>31650</v>
      </c>
      <c r="K53" s="1">
        <f>[1]Data!$J$18</f>
        <v>31650</v>
      </c>
      <c r="L53" s="1">
        <f>[1]Data!$K$18</f>
        <v>37870</v>
      </c>
      <c r="M53" s="1">
        <f>[1]Data!$L$18</f>
        <v>30450</v>
      </c>
      <c r="N53" s="1">
        <f>[1]Data!$M$18</f>
        <v>31150</v>
      </c>
      <c r="O53" s="1">
        <f>[1]Data!$N$18</f>
        <v>398896</v>
      </c>
    </row>
    <row r="54" spans="1:15" hidden="1" outlineLevel="1" collapsed="1" x14ac:dyDescent="0.35">
      <c r="B54" t="s">
        <v>31</v>
      </c>
      <c r="C54" s="1">
        <f>[2]Data!$B$16</f>
        <v>6381.9000000000015</v>
      </c>
      <c r="D54" s="1">
        <f>[2]Data!$C$16</f>
        <v>6508.5</v>
      </c>
      <c r="E54" s="1">
        <f>[2]Data!$D$16</f>
        <v>5882.5</v>
      </c>
      <c r="F54" s="1">
        <f>[2]Data!$E$16</f>
        <v>8412.0999999999985</v>
      </c>
      <c r="G54" s="1">
        <f>[2]Data!$F$16</f>
        <v>8568.5</v>
      </c>
      <c r="H54" s="1">
        <f>[2]Data!$G$16</f>
        <v>7992.4000000000015</v>
      </c>
      <c r="I54" s="1">
        <f>[2]Data!$H$16</f>
        <v>8401.5</v>
      </c>
      <c r="J54" s="1">
        <f>[2]Data!$I$16</f>
        <v>5551.5</v>
      </c>
      <c r="K54" s="1">
        <f>[2]Data!$J$16</f>
        <v>5551.5</v>
      </c>
      <c r="L54" s="1">
        <f>[2]Data!$K$16</f>
        <v>9676.5</v>
      </c>
      <c r="M54" s="1">
        <f>[2]Data!$L$16</f>
        <v>4315.5</v>
      </c>
      <c r="N54" s="1">
        <f>[2]Data!$M$16</f>
        <v>5036.5</v>
      </c>
      <c r="O54" s="1">
        <f>[2]Data!$N$16</f>
        <v>82278.899999999994</v>
      </c>
    </row>
    <row r="55" spans="1:15" hidden="1" outlineLevel="1" collapsed="1" x14ac:dyDescent="0.35">
      <c r="B55" t="s">
        <v>30</v>
      </c>
      <c r="C55" s="1">
        <f>[3]Data!$B$18</f>
        <v>101664.04000000001</v>
      </c>
      <c r="D55" s="1">
        <f>[3]Data!$C$18</f>
        <v>57027.880000000005</v>
      </c>
      <c r="E55" s="1">
        <f>[3]Data!$D$18</f>
        <v>59184.6</v>
      </c>
      <c r="F55" s="1">
        <f>[3]Data!$E$18</f>
        <v>65437.16</v>
      </c>
      <c r="G55" s="1">
        <f>[3]Data!$F$18</f>
        <v>64105</v>
      </c>
      <c r="H55" s="1">
        <f>[3]Data!$G$18</f>
        <v>61510.8</v>
      </c>
      <c r="I55" s="1">
        <f>[3]Data!$H$18</f>
        <v>64577.8</v>
      </c>
      <c r="J55" s="1">
        <f>[3]Data!$I$18</f>
        <v>60501</v>
      </c>
      <c r="K55" s="1">
        <f>[3]Data!$J$18</f>
        <v>60501</v>
      </c>
      <c r="L55" s="1">
        <f>[3]Data!$K$18</f>
        <v>66632.600000000006</v>
      </c>
      <c r="M55" s="1">
        <f>[3]Data!$L$18</f>
        <v>59421</v>
      </c>
      <c r="N55" s="1">
        <f>[3]Data!$M$18</f>
        <v>60051</v>
      </c>
      <c r="O55" s="1">
        <f>[3]Data!$N$18</f>
        <v>780613.88</v>
      </c>
    </row>
    <row r="56" spans="1:15" collapsed="1" x14ac:dyDescent="0.35">
      <c r="A56" t="s">
        <v>28</v>
      </c>
      <c r="C56" s="1">
        <f>SUM(C53:C55)</f>
        <v>139813.94</v>
      </c>
      <c r="D56" s="1">
        <f>SUM(D53:D55)</f>
        <v>94502.38</v>
      </c>
      <c r="E56" s="1">
        <f>SUM(E53:E55)</f>
        <v>97217.1</v>
      </c>
      <c r="F56" s="1">
        <f>SUM(F53:F55)</f>
        <v>109483.26000000001</v>
      </c>
      <c r="G56" s="1">
        <f>SUM(G53:G55)</f>
        <v>108123.5</v>
      </c>
      <c r="H56" s="1">
        <f>SUM(H53:H55)</f>
        <v>103931.20000000001</v>
      </c>
      <c r="I56" s="1">
        <f>SUM(I53:I55)</f>
        <v>108709.3</v>
      </c>
      <c r="J56" s="1">
        <f>SUM(J53:J55)</f>
        <v>97702.5</v>
      </c>
      <c r="K56" s="1">
        <f>SUM(K53:K55)</f>
        <v>97702.5</v>
      </c>
      <c r="L56" s="1">
        <f>SUM(L53:L55)</f>
        <v>114179.1</v>
      </c>
      <c r="M56" s="1">
        <f>SUM(M53:M55)</f>
        <v>94186.5</v>
      </c>
      <c r="N56" s="1">
        <f>SUM(N53:N55)</f>
        <v>96237.5</v>
      </c>
      <c r="O56" s="1">
        <f>SUM(O53:O55)</f>
        <v>1261788.78</v>
      </c>
    </row>
  </sheetData>
  <dataConsolidate leftLabels="1" topLabels="1" link="1">
    <dataRefs count="3">
      <dataRef ref="A3:N18" sheet="Data" r:id="rId1"/>
      <dataRef ref="A2:N16" sheet="Data" r:id="rId2"/>
      <dataRef ref="A2:N18" sheet="Data" r:id="rId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2026-08-07T07:36:56Z</dcterms:created>
  <dcterms:modified xsi:type="dcterms:W3CDTF">2026-08-07T07:40:24Z</dcterms:modified>
</cp:coreProperties>
</file>