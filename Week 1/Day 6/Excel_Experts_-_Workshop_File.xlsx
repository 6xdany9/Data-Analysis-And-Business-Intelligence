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https://dalu-my.sharepoint.com/personal/jl540955_dal_ca/Documents/Presentations/Excel/Excel_Forever_Folder/Excel Expert/"/>
    </mc:Choice>
  </mc:AlternateContent>
  <xr:revisionPtr revIDLastSave="1115" documentId="13_ncr:1_{EBE6F2AB-F25B-49C5-B4A6-6FDBDAA70EBE}" xr6:coauthVersionLast="47" xr6:coauthVersionMax="47" xr10:uidLastSave="{0EB1AAE5-D4A8-4C71-A5C9-EB455F539FFD}"/>
  <bookViews>
    <workbookView xWindow="-120" yWindow="-16320" windowWidth="29040" windowHeight="15720" xr2:uid="{984B4866-CBF3-4A9B-8ADF-63F18AECD973}"/>
  </bookViews>
  <sheets>
    <sheet name="Excel Magic" sheetId="35" r:id="rId1"/>
    <sheet name="Menu" sheetId="36" r:id="rId2"/>
    <sheet name="A1 Instructions" sheetId="38" r:id="rId3"/>
    <sheet name="A1 Exercise" sheetId="13" r:id="rId4"/>
    <sheet name="A2 Instructions" sheetId="40" r:id="rId5"/>
    <sheet name="A2 Exercise" sheetId="21" r:id="rId6"/>
    <sheet name="A3 Instructions" sheetId="42" r:id="rId7"/>
    <sheet name="A3 Exercise" sheetId="43" r:id="rId8"/>
    <sheet name="A4 Instructions" sheetId="37" r:id="rId9"/>
    <sheet name="A4 Exercise" sheetId="11" r:id="rId10"/>
    <sheet name="A5 Instructions" sheetId="22" r:id="rId11"/>
    <sheet name="A5 Exercise" sheetId="23" r:id="rId12"/>
    <sheet name="B1 Instructions" sheetId="44" r:id="rId13"/>
    <sheet name="B1 Exercise" sheetId="45" r:id="rId14"/>
    <sheet name="B2 Instructions" sheetId="33" r:id="rId15"/>
    <sheet name="B2 Exercise" sheetId="34" r:id="rId16"/>
    <sheet name="B3 Instructions" sheetId="30" r:id="rId17"/>
    <sheet name="B4 Instructions" sheetId="14" r:id="rId18"/>
    <sheet name="B4 Exercise" sheetId="15" r:id="rId19"/>
    <sheet name="C1 Instructions" sheetId="6" r:id="rId20"/>
    <sheet name="C1 Exercise" sheetId="7" r:id="rId21"/>
    <sheet name="C2 Instructions" sheetId="8" r:id="rId22"/>
    <sheet name="C2 Exercise" sheetId="9" r:id="rId23"/>
    <sheet name="C3 Instructions" sheetId="16" r:id="rId24"/>
    <sheet name="C3 Exercise" sheetId="17" r:id="rId25"/>
    <sheet name="C4 Instructions" sheetId="18" r:id="rId26"/>
    <sheet name="C4 Exercise" sheetId="19" r:id="rId27"/>
    <sheet name="2021 CSD" sheetId="5" r:id="rId28"/>
    <sheet name="ContactInfo" sheetId="32" r:id="rId29"/>
  </sheets>
  <definedNames>
    <definedName name="_xlnm._FilterDatabase" localSheetId="27" hidden="1">'2021 CSD'!$A$1:$J$4064</definedName>
    <definedName name="DemoCode">'A3 Exercise'!$B$139</definedName>
    <definedName name="DemoDrop">'B1 Exercise'!$B$156</definedName>
    <definedName name="DemoPeople">'A3 Exercise'!$B$192</definedName>
    <definedName name="Exer1" localSheetId="13">'B1 Exercise'!$B$14</definedName>
    <definedName name="Exer1">'A3 Exercise'!$B$13</definedName>
    <definedName name="Exer2" localSheetId="13">'B1 Exercise'!$B$37</definedName>
    <definedName name="Exer2">'A3 Exercise'!$B$37</definedName>
    <definedName name="Exer3" localSheetId="13">'B1 Exercise'!$B$59</definedName>
    <definedName name="Exer3">'A3 Exercise'!$B$62</definedName>
    <definedName name="Exer4" localSheetId="13">'B1 Exercise'!$B$103</definedName>
    <definedName name="Exer4">'A3 Exercise'!$B$87</definedName>
    <definedName name="Exer5" localSheetId="13">'B1 Exercise'!$B$138</definedName>
    <definedName name="Exer5">'A3 Exercise'!$B$112</definedName>
    <definedName name="HowTo" localSheetId="13">'B1 Instructions'!$B$24</definedName>
    <definedName name="HowTo" localSheetId="12">'B1 Instructions'!$B$24</definedName>
    <definedName name="HowTo">'A3 Instructions'!$B$25</definedName>
    <definedName name="ImportantNotes" localSheetId="13">'B1 Instructions'!$B$78</definedName>
    <definedName name="ImportantNotes" localSheetId="12">'B1 Instructions'!$B$78</definedName>
    <definedName name="ImportantNotes">'A3 Instructions'!$B$53</definedName>
    <definedName name="mult">'B1 Instructions'!$B$118</definedName>
    <definedName name="OneCol" localSheetId="8">'A4 Instructions'!$B$36</definedName>
    <definedName name="OneCol">#REF!</definedName>
    <definedName name="Prerequesite" localSheetId="13">'B1 Instructions'!$B$66</definedName>
    <definedName name="Prerequesite" localSheetId="12">'B1 Instructions'!$B$66</definedName>
    <definedName name="Prerequesite">'A3 Instructions'!$B$46</definedName>
    <definedName name="Reset" localSheetId="8">'A4 Instructions'!#REF!</definedName>
    <definedName name="Reset">#REF!</definedName>
    <definedName name="ResetEx">'A4 Instructions'!$B$65</definedName>
    <definedName name="ThePoint" localSheetId="13">'B1 Instructions'!$B$3</definedName>
    <definedName name="ThePoint" localSheetId="12">'B1 Instructions'!$B$3</definedName>
    <definedName name="ThePoint">'A3 Instructions'!#REF!</definedName>
    <definedName name="Top" localSheetId="13">'B1 Instructions'!$B$2</definedName>
    <definedName name="Top" localSheetId="12">'B1 Instructions'!$B$2</definedName>
    <definedName name="Top">'A3 Instructions'!#REF!</definedName>
    <definedName name="TopExercise" localSheetId="13">'B1 Exercise'!$B$3</definedName>
    <definedName name="TopExercise">'A3 Exercise'!$B$3</definedName>
    <definedName name="TwoCol" localSheetId="8">'A4 Instructions'!$B$23</definedName>
    <definedName name="TwoCol">#REF!</definedName>
    <definedName name="Versus">'B1 Instructions'!$B$130</definedName>
    <definedName name="wildcards">'B1 Instructions'!$B$81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5" i="45" l="1" a="1"/>
  <c r="H165" i="45" s="1"/>
  <c r="C175" i="45" a="1"/>
  <c r="C175" i="45" s="1"/>
  <c r="B175" i="45" a="1"/>
  <c r="B175" i="45" s="1"/>
  <c r="E137" i="43" l="1"/>
  <c r="E136" i="43"/>
  <c r="E135" i="43"/>
  <c r="E134" i="43"/>
  <c r="E133" i="43"/>
  <c r="E132" i="43"/>
  <c r="E131" i="43"/>
  <c r="E130" i="43"/>
  <c r="E129" i="43"/>
  <c r="E124" i="43"/>
  <c r="E123" i="43"/>
  <c r="H110" i="33" a="1"/>
  <c r="H110" i="33"/>
  <c r="H111" i="33" a="1"/>
  <c r="H111" i="33"/>
  <c r="H112" i="33" a="1"/>
  <c r="H112" i="33"/>
  <c r="H113" i="33" a="1"/>
  <c r="H113" i="33"/>
  <c r="H114" i="33" a="1"/>
  <c r="H114" i="33"/>
  <c r="H115" i="33" a="1"/>
  <c r="H115" i="33"/>
  <c r="H109" i="33" a="1"/>
  <c r="H109" i="33" s="1"/>
  <c r="B105" i="33"/>
  <c r="F139" i="44"/>
  <c r="G80" i="45"/>
  <c r="G81" i="45"/>
  <c r="G82" i="45"/>
  <c r="G83" i="45"/>
  <c r="G84" i="45"/>
  <c r="G85" i="45"/>
  <c r="G86" i="45"/>
  <c r="G87" i="45"/>
  <c r="G88" i="45"/>
  <c r="G89" i="45"/>
  <c r="G90" i="45"/>
  <c r="C95" i="45"/>
  <c r="C96" i="45"/>
  <c r="C97" i="45"/>
  <c r="C98" i="45"/>
  <c r="C99" i="45"/>
  <c r="C100" i="45"/>
  <c r="C101" i="45"/>
  <c r="G43" i="44"/>
  <c r="G44" i="44"/>
  <c r="G45" i="44"/>
  <c r="G46" i="44"/>
  <c r="G47" i="44"/>
  <c r="G48" i="44"/>
  <c r="G49" i="44"/>
  <c r="G50" i="44"/>
  <c r="G51" i="44"/>
  <c r="G52" i="44"/>
  <c r="G53" i="44"/>
  <c r="G86" i="44"/>
  <c r="H86" i="44"/>
  <c r="G87" i="44"/>
  <c r="H87" i="44"/>
  <c r="G88" i="44"/>
  <c r="H88" i="44"/>
  <c r="G89" i="44"/>
  <c r="H89" i="44"/>
  <c r="G90" i="44"/>
  <c r="H90" i="44"/>
  <c r="G91" i="44"/>
  <c r="H91" i="44"/>
  <c r="G92" i="44"/>
  <c r="H92" i="44"/>
  <c r="G93" i="44"/>
  <c r="H93" i="44"/>
  <c r="G94" i="44"/>
  <c r="H94" i="44"/>
  <c r="G95" i="44"/>
  <c r="H95" i="44"/>
  <c r="G96" i="44"/>
  <c r="H96" i="44"/>
  <c r="H105" i="44" a="1"/>
  <c r="H105" i="44" s="1"/>
  <c r="H106" i="44" a="1"/>
  <c r="H106" i="44" s="1"/>
  <c r="H107" i="44" a="1"/>
  <c r="H107" i="44" s="1"/>
  <c r="H108" i="44" a="1"/>
  <c r="H108" i="44" s="1"/>
  <c r="H109" i="44" a="1"/>
  <c r="H109" i="44" s="1"/>
  <c r="H110" i="44" a="1"/>
  <c r="H110" i="44" s="1"/>
  <c r="H111" i="44" a="1"/>
  <c r="H111" i="44" s="1"/>
  <c r="H112" i="44" a="1"/>
  <c r="H112" i="44" s="1"/>
  <c r="H113" i="44" a="1"/>
  <c r="H113" i="44" s="1"/>
  <c r="H114" i="44" a="1"/>
  <c r="H114" i="44" s="1"/>
  <c r="H115" i="44" a="1"/>
  <c r="H115" i="44" s="1"/>
  <c r="I123" i="44" a="1"/>
  <c r="I123" i="44" s="1"/>
  <c r="I124" i="44" a="1"/>
  <c r="I124" i="44" s="1"/>
  <c r="I125" i="44" a="1"/>
  <c r="I125" i="44" s="1"/>
  <c r="I126" i="44" a="1"/>
  <c r="I126" i="44" s="1"/>
  <c r="F138" i="44"/>
  <c r="F140" i="44"/>
  <c r="H96" i="33" l="1"/>
  <c r="H45" i="33"/>
  <c r="F95" i="16"/>
  <c r="D25" i="8"/>
  <c r="C84" i="18" l="1" a="1"/>
  <c r="C84" i="18" s="1"/>
  <c r="C83" i="18" a="1"/>
  <c r="C83" i="18" s="1"/>
  <c r="B15" i="13"/>
  <c r="C15" i="13"/>
  <c r="E15" i="13" s="1"/>
  <c r="D15" i="13"/>
  <c r="B16" i="13"/>
  <c r="C16" i="13"/>
  <c r="E16" i="13" s="1"/>
  <c r="D16" i="13"/>
  <c r="B17" i="13"/>
  <c r="C17" i="13"/>
  <c r="D17" i="13"/>
  <c r="E17" i="13"/>
  <c r="B18" i="13"/>
  <c r="C18" i="13"/>
  <c r="D18" i="13"/>
  <c r="E18" i="13"/>
  <c r="B19" i="13"/>
  <c r="C19" i="13"/>
  <c r="D19" i="13"/>
  <c r="E19" i="13"/>
  <c r="B20" i="13"/>
  <c r="C20" i="13"/>
  <c r="D20" i="13"/>
  <c r="E20" i="13"/>
  <c r="B21" i="13"/>
  <c r="C21" i="13"/>
  <c r="D21" i="13"/>
  <c r="E21" i="13"/>
  <c r="B22" i="13"/>
  <c r="C22" i="13"/>
  <c r="D22" i="13"/>
  <c r="E22" i="13"/>
  <c r="B23" i="13"/>
  <c r="C23" i="13"/>
  <c r="D23" i="13"/>
  <c r="E23" i="13"/>
  <c r="B24" i="13"/>
  <c r="C24" i="13"/>
  <c r="D24" i="13"/>
  <c r="E24" i="13"/>
  <c r="B25" i="13"/>
  <c r="C25" i="13"/>
  <c r="D25" i="13"/>
  <c r="E25" i="13"/>
  <c r="B26" i="13"/>
  <c r="C26" i="13"/>
  <c r="D26" i="13"/>
  <c r="E26" i="13"/>
  <c r="B27" i="13"/>
  <c r="C27" i="13"/>
  <c r="D27" i="13"/>
  <c r="E27" i="13"/>
  <c r="V8" i="21"/>
  <c r="N10" i="21"/>
  <c r="N8" i="21"/>
  <c r="B43" i="30"/>
  <c r="B46" i="14"/>
  <c r="B41" i="14"/>
  <c r="B62" i="14"/>
  <c r="B67" i="14"/>
  <c r="C68" i="18" a="1"/>
  <c r="C68" i="18" s="1"/>
  <c r="C67" i="18" a="1"/>
  <c r="C67" i="18" s="1"/>
  <c r="C52" i="18" a="1"/>
  <c r="C52" i="18" s="1"/>
  <c r="C51" i="18" a="1"/>
  <c r="C51" i="18" s="1"/>
  <c r="C21" i="18" a="1"/>
  <c r="C21" i="18" s="1"/>
  <c r="F96" i="16"/>
  <c r="F94" i="16"/>
  <c r="H72" i="16"/>
  <c r="H73" i="16"/>
  <c r="H74" i="16"/>
  <c r="H75" i="16"/>
  <c r="H76" i="16"/>
  <c r="H77" i="16"/>
  <c r="H78" i="16"/>
  <c r="H79" i="16"/>
  <c r="H80" i="16"/>
  <c r="H81" i="16"/>
  <c r="H71" i="16"/>
  <c r="G72" i="16"/>
  <c r="G73" i="16"/>
  <c r="G74" i="16"/>
  <c r="G75" i="16"/>
  <c r="G76" i="16"/>
  <c r="G77" i="16"/>
  <c r="G78" i="16"/>
  <c r="G79" i="16"/>
  <c r="G80" i="16"/>
  <c r="G81" i="16"/>
  <c r="G71" i="16"/>
  <c r="H37" i="16"/>
  <c r="H38" i="16"/>
  <c r="H39" i="16"/>
  <c r="H40" i="16"/>
  <c r="H41" i="16"/>
  <c r="H42" i="16"/>
  <c r="H43" i="16"/>
  <c r="H44" i="16"/>
  <c r="H45" i="16"/>
  <c r="H46" i="16"/>
  <c r="H36" i="16"/>
  <c r="C25" i="8" l="1"/>
  <c r="C70" i="14"/>
  <c r="C65" i="14"/>
  <c r="C44" i="14"/>
  <c r="C49" i="14"/>
  <c r="G28" i="13"/>
  <c r="G27" i="13"/>
  <c r="G26" i="13"/>
  <c r="G25" i="13"/>
  <c r="G24" i="13"/>
  <c r="G23" i="13"/>
  <c r="G22" i="13"/>
  <c r="G21" i="13"/>
  <c r="G20" i="13"/>
  <c r="G19" i="13"/>
  <c r="G18" i="13"/>
  <c r="G17" i="13"/>
  <c r="G16" i="13"/>
  <c r="G15" i="13"/>
  <c r="D28" i="13"/>
  <c r="C34" i="38"/>
  <c r="C33" i="38"/>
  <c r="C32" i="38"/>
  <c r="C49" i="38"/>
  <c r="C48" i="38"/>
  <c r="C47" i="38"/>
  <c r="C54" i="6"/>
  <c r="C47" i="6"/>
  <c r="C37" i="6"/>
  <c r="C41" i="6" s="1"/>
  <c r="C33" i="6"/>
  <c r="B92" i="33"/>
  <c r="B66" i="33"/>
  <c r="B79" i="33"/>
  <c r="D36" i="8"/>
  <c r="C36" i="8"/>
  <c r="G22" i="15"/>
  <c r="G23" i="15"/>
  <c r="G24" i="15"/>
  <c r="G25" i="15"/>
  <c r="G26" i="15"/>
  <c r="G27" i="15"/>
  <c r="G28" i="15"/>
  <c r="G29" i="15"/>
  <c r="G30" i="15"/>
  <c r="G31" i="15"/>
  <c r="G32" i="15"/>
  <c r="G33" i="15"/>
  <c r="G34" i="15"/>
  <c r="G35" i="15"/>
  <c r="G36" i="15"/>
  <c r="G37" i="15"/>
  <c r="G38" i="15"/>
  <c r="H86" i="33"/>
  <c r="H97" i="33" l="1"/>
  <c r="H98" i="33"/>
  <c r="H99" i="33"/>
  <c r="H100" i="33"/>
  <c r="H101" i="33"/>
  <c r="H102" i="33"/>
  <c r="H84" i="33"/>
  <c r="H85" i="33"/>
  <c r="H87" i="33"/>
  <c r="H88" i="33"/>
  <c r="H89" i="33"/>
  <c r="H83" i="33"/>
  <c r="D27" i="30" l="1"/>
  <c r="C27" i="30"/>
  <c r="B27" i="30"/>
  <c r="G44" i="16"/>
  <c r="H58" i="33"/>
  <c r="H59" i="33"/>
  <c r="H60" i="33"/>
  <c r="H61" i="33"/>
  <c r="H62" i="33"/>
  <c r="H63" i="33"/>
  <c r="H57" i="33"/>
  <c r="H71" i="33"/>
  <c r="H72" i="33"/>
  <c r="H73" i="33"/>
  <c r="H74" i="33"/>
  <c r="H75" i="33"/>
  <c r="H76" i="33"/>
  <c r="H70" i="33"/>
  <c r="H46" i="33"/>
  <c r="H47" i="33"/>
  <c r="H48" i="33"/>
  <c r="H49" i="33"/>
  <c r="H50" i="33"/>
  <c r="H51" i="33"/>
  <c r="G21" i="15" l="1"/>
  <c r="C16" i="7" l="1"/>
  <c r="AF12" i="21" l="1"/>
  <c r="AD12" i="21"/>
  <c r="AB12" i="21"/>
  <c r="Y12" i="21"/>
  <c r="W12" i="21"/>
  <c r="T12" i="21"/>
  <c r="R12" i="21"/>
  <c r="Q12" i="21"/>
  <c r="P12" i="21"/>
  <c r="L12" i="21"/>
  <c r="J12" i="21"/>
  <c r="F12" i="21"/>
  <c r="D12" i="21"/>
  <c r="C12" i="21"/>
  <c r="B12" i="21"/>
  <c r="Y11" i="21"/>
  <c r="V11" i="21"/>
  <c r="T11" i="21"/>
  <c r="P11" i="21"/>
  <c r="L11" i="21"/>
  <c r="I11" i="21"/>
  <c r="G11" i="21"/>
  <c r="B11" i="21"/>
  <c r="AF10" i="21"/>
  <c r="AD10" i="21"/>
  <c r="AB10" i="21"/>
  <c r="Y10" i="21"/>
  <c r="U10" i="21"/>
  <c r="T10" i="21"/>
  <c r="R10" i="21"/>
  <c r="Q10" i="21"/>
  <c r="P10" i="21"/>
  <c r="M10" i="21"/>
  <c r="L10" i="21"/>
  <c r="H10" i="21"/>
  <c r="D10" i="21"/>
  <c r="C10" i="21"/>
  <c r="B10" i="21"/>
  <c r="AF9" i="21"/>
  <c r="AD9" i="21"/>
  <c r="AB9" i="21"/>
  <c r="Y9" i="21"/>
  <c r="V9" i="21"/>
  <c r="T9" i="21"/>
  <c r="P9" i="21"/>
  <c r="N9" i="21"/>
  <c r="L9" i="21"/>
  <c r="I9" i="21"/>
  <c r="G9" i="21"/>
  <c r="B9" i="21"/>
  <c r="AF8" i="21"/>
  <c r="AD8" i="21"/>
  <c r="AB8" i="21"/>
  <c r="Z8" i="21"/>
  <c r="Y8" i="21"/>
  <c r="X8" i="21"/>
  <c r="U8" i="21"/>
  <c r="T8" i="21"/>
  <c r="R8" i="21"/>
  <c r="Q8" i="21"/>
  <c r="P8" i="21"/>
  <c r="M8" i="21"/>
  <c r="L8" i="21"/>
  <c r="J8" i="21"/>
  <c r="F8" i="21"/>
  <c r="D8" i="21"/>
  <c r="C8" i="21"/>
  <c r="B8" i="21"/>
  <c r="G36" i="16" l="1"/>
  <c r="H21" i="7" l="1"/>
  <c r="H22" i="7"/>
  <c r="H23" i="7"/>
  <c r="H24" i="7"/>
  <c r="H25" i="7"/>
  <c r="H26" i="7"/>
  <c r="H27" i="7"/>
  <c r="H28" i="7"/>
  <c r="H29" i="7"/>
  <c r="H30" i="7"/>
  <c r="H31" i="7"/>
  <c r="H32" i="7"/>
  <c r="H20" i="7"/>
  <c r="G46" i="16" l="1"/>
  <c r="G45" i="16"/>
  <c r="G43" i="16"/>
  <c r="G42" i="16"/>
  <c r="G41" i="16"/>
  <c r="G40" i="16"/>
  <c r="G39" i="16"/>
  <c r="G38" i="16"/>
  <c r="G37" i="16"/>
  <c r="D14" i="13" l="1"/>
  <c r="C14" i="13"/>
  <c r="B14" i="13"/>
  <c r="D54" i="8" l="1"/>
  <c r="D53" i="8"/>
  <c r="D52" i="8"/>
  <c r="D51" i="8"/>
  <c r="D50" i="8"/>
  <c r="D49" i="8"/>
  <c r="D48" i="8"/>
  <c r="D47" i="8"/>
  <c r="C54" i="8"/>
  <c r="C53" i="8"/>
  <c r="C52" i="8"/>
  <c r="C51" i="8"/>
  <c r="C50" i="8"/>
  <c r="C49" i="8"/>
  <c r="C48" i="8"/>
  <c r="C47" i="8"/>
  <c r="D43" i="8"/>
  <c r="D42" i="8"/>
  <c r="D41" i="8"/>
  <c r="D40" i="8"/>
  <c r="D39" i="8"/>
  <c r="D38" i="8"/>
  <c r="D37" i="8"/>
  <c r="C43" i="8"/>
  <c r="C42" i="8"/>
  <c r="C41" i="8"/>
  <c r="C40" i="8"/>
  <c r="C39" i="8"/>
  <c r="C38" i="8"/>
  <c r="C37" i="8"/>
  <c r="D32" i="8"/>
  <c r="D31" i="8"/>
  <c r="D30" i="8"/>
  <c r="D29" i="8"/>
  <c r="D28" i="8"/>
  <c r="D27" i="8"/>
  <c r="D26" i="8"/>
  <c r="C32" i="8"/>
  <c r="C31" i="8"/>
  <c r="C30" i="8"/>
  <c r="C29" i="8"/>
  <c r="C28" i="8"/>
  <c r="C27" i="8"/>
  <c r="C26" i="8"/>
  <c r="C26"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<sst xmlns="http://schemas.openxmlformats.org/spreadsheetml/2006/main" count="2966" uniqueCount="1410">
  <si>
    <t>We'll build a list of unique values by eliminating duplicates.</t>
  </si>
  <si>
    <t>SUBDIV</t>
  </si>
  <si>
    <t>You guys know about "paste as values" already, right? Everyone?</t>
  </si>
  <si>
    <t>Use "" to insert text.</t>
  </si>
  <si>
    <t>Use &amp; to concatenate.</t>
  </si>
  <si>
    <t>Use the address of a cell to concatenate it.</t>
  </si>
  <si>
    <t>If the cell contains a number, it will be converted to text.</t>
  </si>
  <si>
    <t>is a number.</t>
  </si>
  <si>
    <t>Notice that the content displayed by cells with formulas is concatenated, not the formula itself.</t>
  </si>
  <si>
    <t>Expected result</t>
  </si>
  <si>
    <t>Insert your formula in this column</t>
  </si>
  <si>
    <t>Typing in</t>
  </si>
  <si>
    <t>Results in the number</t>
  </si>
  <si>
    <t>Lets use LEFT to extract the province</t>
  </si>
  <si>
    <t>QC 26-3</t>
  </si>
  <si>
    <t>ON 8-446</t>
  </si>
  <si>
    <t>Data</t>
  </si>
  <si>
    <t>Let's use RIGHT to extract the last number</t>
  </si>
  <si>
    <t>Let's use MID to grab the 3 characters following the space</t>
  </si>
  <si>
    <t>Let's see what FIND does when we search for "-"</t>
  </si>
  <si>
    <t>Let's use MID and FIND to grab the number in the middle</t>
  </si>
  <si>
    <t>Let's use RIGHT and FIND to grab the number on the right</t>
  </si>
  <si>
    <t>Congrats on finding the hidden bonus function!</t>
  </si>
  <si>
    <t>We'll take a quick look at LEFT, MID, RIGHT, and FIND.</t>
  </si>
  <si>
    <t>Names</t>
  </si>
  <si>
    <t>First Name</t>
  </si>
  <si>
    <t>Last Name</t>
  </si>
  <si>
    <t>Golden ring</t>
  </si>
  <si>
    <t>Bears</t>
  </si>
  <si>
    <t>I'm using</t>
  </si>
  <si>
    <t>Let's transform that</t>
  </si>
  <si>
    <t>concatenation</t>
  </si>
  <si>
    <t>into values.</t>
  </si>
  <si>
    <t>from the formulas column</t>
  </si>
  <si>
    <t>before and after</t>
  </si>
  <si>
    <t>doing the paste as values.</t>
  </si>
  <si>
    <t>Name</t>
  </si>
  <si>
    <t>Tool</t>
  </si>
  <si>
    <t>Cost</t>
  </si>
  <si>
    <t>Peter Parker</t>
  </si>
  <si>
    <t>Web Slinger</t>
  </si>
  <si>
    <t>Bruce Wayne</t>
  </si>
  <si>
    <t>Hero</t>
  </si>
  <si>
    <t>Status</t>
  </si>
  <si>
    <t>Villain</t>
  </si>
  <si>
    <t>Bat car</t>
  </si>
  <si>
    <t>Dr. Horrible</t>
  </si>
  <si>
    <t>Freeze Ray</t>
  </si>
  <si>
    <t>Venom antidote</t>
  </si>
  <si>
    <t>Ambiguous</t>
  </si>
  <si>
    <t>Dentists</t>
  </si>
  <si>
    <t>Scary looking equipment</t>
  </si>
  <si>
    <t>Cat</t>
  </si>
  <si>
    <t>Miow</t>
  </si>
  <si>
    <t>Dog</t>
  </si>
  <si>
    <t>Woof</t>
  </si>
  <si>
    <t>Cow</t>
  </si>
  <si>
    <t>Mooo</t>
  </si>
  <si>
    <t>Cricket</t>
  </si>
  <si>
    <t>Cricket cricket</t>
  </si>
  <si>
    <t>Pig</t>
  </si>
  <si>
    <t>Oink oink</t>
  </si>
  <si>
    <t>Giraffe</t>
  </si>
  <si>
    <t>???</t>
  </si>
  <si>
    <t>Duck</t>
  </si>
  <si>
    <t>Quack quack</t>
  </si>
  <si>
    <t>Felix</t>
  </si>
  <si>
    <t>Spot</t>
  </si>
  <si>
    <t>Hortense</t>
  </si>
  <si>
    <t>Rover</t>
  </si>
  <si>
    <t>Bacon</t>
  </si>
  <si>
    <t>Donald</t>
  </si>
  <si>
    <t>Jimmy</t>
  </si>
  <si>
    <t>Tournedos</t>
  </si>
  <si>
    <t>Barbecued</t>
  </si>
  <si>
    <t>Soushi</t>
  </si>
  <si>
    <t>City</t>
  </si>
  <si>
    <t>Country</t>
  </si>
  <si>
    <t>Montreal</t>
  </si>
  <si>
    <t>Canada</t>
  </si>
  <si>
    <t>Cold</t>
  </si>
  <si>
    <t>Moncton</t>
  </si>
  <si>
    <t>Ottawa</t>
  </si>
  <si>
    <t>Cold and wet</t>
  </si>
  <si>
    <t>Winnipeg</t>
  </si>
  <si>
    <t>Colder</t>
  </si>
  <si>
    <t>North Pole</t>
  </si>
  <si>
    <t>Christmas Village</t>
  </si>
  <si>
    <t>Honolulu</t>
  </si>
  <si>
    <t>Hawaii</t>
  </si>
  <si>
    <t>Nice and warm</t>
  </si>
  <si>
    <t>Las Vegas</t>
  </si>
  <si>
    <t>United States</t>
  </si>
  <si>
    <t>Too hot</t>
  </si>
  <si>
    <t>Magical</t>
  </si>
  <si>
    <t>Celebrities</t>
  </si>
  <si>
    <t>City of origin</t>
  </si>
  <si>
    <t>Atwood, Margaret</t>
  </si>
  <si>
    <t>Morissette, Alanis</t>
  </si>
  <si>
    <t>Bastarache, Michel</t>
  </si>
  <si>
    <t>Claus, Santa</t>
  </si>
  <si>
    <t>Roy, Gabrielle</t>
  </si>
  <si>
    <t>Fox, Terry</t>
  </si>
  <si>
    <t>Kay, Guy Gavriel</t>
  </si>
  <si>
    <t>Mars, Bruno</t>
  </si>
  <si>
    <t>Obama, Barack</t>
  </si>
  <si>
    <t>Sinatra, Frank</t>
  </si>
  <si>
    <t>Grocery list</t>
  </si>
  <si>
    <t>Quantities</t>
  </si>
  <si>
    <t>Potatoes</t>
  </si>
  <si>
    <t>Ground beef</t>
  </si>
  <si>
    <t>Maple Syrup</t>
  </si>
  <si>
    <t>Apples</t>
  </si>
  <si>
    <t>Unit Price</t>
  </si>
  <si>
    <t>Total</t>
  </si>
  <si>
    <t>Red</t>
  </si>
  <si>
    <t>Trucks</t>
  </si>
  <si>
    <t>Cars</t>
  </si>
  <si>
    <t>Yellow</t>
  </si>
  <si>
    <t>Blue</t>
  </si>
  <si>
    <t>Color</t>
  </si>
  <si>
    <t>Bicycles</t>
  </si>
  <si>
    <t>Precipitation (mm)</t>
  </si>
  <si>
    <t>Vancouver</t>
  </si>
  <si>
    <t>April 21</t>
  </si>
  <si>
    <t>April 22</t>
  </si>
  <si>
    <t>April 23</t>
  </si>
  <si>
    <t>April 24</t>
  </si>
  <si>
    <t>April 25</t>
  </si>
  <si>
    <t>Fredericton</t>
  </si>
  <si>
    <t>*</t>
  </si>
  <si>
    <t>We're going to learn about my favorite Find/Replace tricks.</t>
  </si>
  <si>
    <t>I have a smiley face :)</t>
  </si>
  <si>
    <t>:) yay yay</t>
  </si>
  <si>
    <t>I won the lottery :)</t>
  </si>
  <si>
    <t>I had to work late. :/</t>
  </si>
  <si>
    <t>I love chocolate :)</t>
  </si>
  <si>
    <t>I like cake :)</t>
  </si>
  <si>
    <t>:) :) :) :) :) :) :)</t>
  </si>
  <si>
    <t>You wouldn't find any of these cells with an exact match :(</t>
  </si>
  <si>
    <t>Formula</t>
  </si>
  <si>
    <t>By email</t>
  </si>
  <si>
    <t xml:space="preserve">Need more help? </t>
  </si>
  <si>
    <t>You could try contacting me! I'm always happy to help with Excel questions.</t>
  </si>
  <si>
    <t>Formulas using data</t>
  </si>
  <si>
    <t>Success?</t>
  </si>
  <si>
    <t>CD</t>
  </si>
  <si>
    <t>Do the exercise and ordering by last name becomes very easy to do!</t>
  </si>
  <si>
    <t>Animals</t>
  </si>
  <si>
    <t>Sounds</t>
  </si>
  <si>
    <t>Let's take a look at VLOOKUP!</t>
  </si>
  <si>
    <t>Formulas are hidden below</t>
  </si>
  <si>
    <t>Julie.Marcoux@dal.ca</t>
  </si>
  <si>
    <t>Province</t>
  </si>
  <si>
    <t>SUBDIV Name</t>
  </si>
  <si>
    <t>x</t>
  </si>
  <si>
    <t>Created by Julie Marcoux, Dalhousie University</t>
  </si>
  <si>
    <t>NS 1-1</t>
  </si>
  <si>
    <t>NS 1-4</t>
  </si>
  <si>
    <t>NS 1-8</t>
  </si>
  <si>
    <t>NS 2-1</t>
  </si>
  <si>
    <t>NS 2-4</t>
  </si>
  <si>
    <t>NS 2-6</t>
  </si>
  <si>
    <t>NS 2-40</t>
  </si>
  <si>
    <t>NS 3-1</t>
  </si>
  <si>
    <t>NS 3-4</t>
  </si>
  <si>
    <t>NS 3-6</t>
  </si>
  <si>
    <t>NS 3-9</t>
  </si>
  <si>
    <t>NS 4-10</t>
  </si>
  <si>
    <t>LEN gives you the total number of characters in a string, by the way.</t>
  </si>
  <si>
    <t>Select the data for which you want to remove duplicates. In Excel's menu, select the "data" ribbon and then "Remove duplicates" from the "Data Tools" section</t>
  </si>
  <si>
    <t>Turtle Dove</t>
  </si>
  <si>
    <t>Keith, Alexander</t>
  </si>
  <si>
    <t>Halifax</t>
  </si>
  <si>
    <t>McLachlan, Sarah</t>
  </si>
  <si>
    <t>So much rain</t>
  </si>
  <si>
    <t>We're going to witness the power of CSE formulas.</t>
  </si>
  <si>
    <r>
      <t xml:space="preserve">I could have made this example even more complicated by using the </t>
    </r>
    <r>
      <rPr>
        <sz val="11"/>
        <color theme="3" tint="0.39997558519241921"/>
        <rFont val="Calibri"/>
        <family val="2"/>
        <scheme val="minor"/>
      </rPr>
      <t>FIND</t>
    </r>
    <r>
      <rPr>
        <sz val="11"/>
        <color theme="1"/>
        <rFont val="Calibri"/>
        <family val="2"/>
        <scheme val="minor"/>
      </rPr>
      <t xml:space="preserve"> formula to return the number associated to the space after the province, using that as the number from which to start the extraction, and than using it again when it comes time to subtract.</t>
    </r>
  </si>
  <si>
    <t>Vehicle</t>
  </si>
  <si>
    <t>I have a frowny face :(</t>
  </si>
  <si>
    <t>Dazzle with Data Using Excel Magic!</t>
  </si>
  <si>
    <t>We'll use our list of unique values and SumIf and SumIfs to do some magic!</t>
  </si>
  <si>
    <t>Coolness</t>
  </si>
  <si>
    <t>Cool</t>
  </si>
  <si>
    <t>Ted Parker</t>
  </si>
  <si>
    <t>Super cool</t>
  </si>
  <si>
    <t>Annual salary</t>
  </si>
  <si>
    <t>Daredevil</t>
  </si>
  <si>
    <t>Did you think we were going to forget about OR and AND? As IF!</t>
  </si>
  <si>
    <t>We're going to COUNT from A to Z!</t>
  </si>
  <si>
    <t>http://dal.ca.libguides.com/data/excel</t>
  </si>
  <si>
    <t>More self-teaching Excel files?</t>
  </si>
  <si>
    <t>Bermuda Triangle</t>
  </si>
  <si>
    <t>Phenomenon</t>
  </si>
  <si>
    <t>Distance</t>
  </si>
  <si>
    <t>Nature</t>
  </si>
  <si>
    <t>Distance (km)</t>
  </si>
  <si>
    <t>Monster</t>
  </si>
  <si>
    <t>Zombies</t>
  </si>
  <si>
    <t>Amount</t>
  </si>
  <si>
    <t>Germs</t>
  </si>
  <si>
    <t>Natural</t>
  </si>
  <si>
    <t>Horror source</t>
  </si>
  <si>
    <t>Vampires</t>
  </si>
  <si>
    <t>Unfulfillment</t>
  </si>
  <si>
    <t>Philosophical</t>
  </si>
  <si>
    <t>Noises</t>
  </si>
  <si>
    <t>Loch Ness Monster</t>
  </si>
  <si>
    <t>Scariness (out of 10)</t>
  </si>
  <si>
    <t>Let's flag all the cases where the scariness is 5 or more.</t>
  </si>
  <si>
    <t>Scariness criteria</t>
  </si>
  <si>
    <t>It might be best to assign a cell for the criteria - what if we change our minds about how much scariness we can tolerate?</t>
  </si>
  <si>
    <t>Big Worry</t>
  </si>
  <si>
    <t>Small Worry</t>
  </si>
  <si>
    <t>Later</t>
  </si>
  <si>
    <t>Gator</t>
  </si>
  <si>
    <t>CountA just counts the number of non-blanks. That's it. Short and sweet! Great for data quality control.</t>
  </si>
  <si>
    <t>Everything</t>
  </si>
  <si>
    <t>I have</t>
  </si>
  <si>
    <t>a blank</t>
  </si>
  <si>
    <t>Two blanks</t>
  </si>
  <si>
    <t>Three rows</t>
  </si>
  <si>
    <t>with data</t>
  </si>
  <si>
    <t>is good</t>
  </si>
  <si>
    <t>no blanks</t>
  </si>
  <si>
    <t>Five rows</t>
  </si>
  <si>
    <t>four rows</t>
  </si>
  <si>
    <t>&lt;- Try changing this number and see what happens in the "Simple worry" column of the below table.</t>
  </si>
  <si>
    <t>-&gt;</t>
  </si>
  <si>
    <t>&lt;-</t>
  </si>
  <si>
    <t>Welcome to a workshop in which you will be amazed with Excel magic tricks.</t>
  </si>
  <si>
    <t>But don't worry, most of the tricks will be revealed!</t>
  </si>
  <si>
    <t>You too can become an Excel expert!</t>
  </si>
  <si>
    <t>Let's concentrate on concatenation</t>
  </si>
  <si>
    <t>What are we doing here?</t>
  </si>
  <si>
    <t>This is amazing! What if I want to learn more?</t>
  </si>
  <si>
    <t>Just Google "Excel string functions"</t>
  </si>
  <si>
    <t>How do I get started again?</t>
  </si>
  <si>
    <t>INSTRUCTIONS</t>
  </si>
  <si>
    <r>
      <t xml:space="preserve">If the cell contains a number, it will be converted to text. Use </t>
    </r>
    <r>
      <rPr>
        <sz val="11"/>
        <color rgb="FF002060"/>
        <rFont val="Calibri"/>
        <family val="2"/>
        <scheme val="minor"/>
      </rPr>
      <t>""</t>
    </r>
    <r>
      <rPr>
        <sz val="11"/>
        <color theme="1"/>
        <rFont val="Calibri"/>
        <family val="2"/>
        <scheme val="minor"/>
      </rPr>
      <t xml:space="preserve"> to insert text.</t>
    </r>
  </si>
  <si>
    <r>
      <t>Use</t>
    </r>
    <r>
      <rPr>
        <sz val="11"/>
        <color rgb="FF002060"/>
        <rFont val="Calibri"/>
        <family val="2"/>
        <scheme val="minor"/>
      </rPr>
      <t xml:space="preserve"> """</t>
    </r>
    <r>
      <rPr>
        <sz val="11"/>
        <color theme="1"/>
        <rFont val="Calibri"/>
        <family val="2"/>
        <scheme val="minor"/>
      </rPr>
      <t xml:space="preserve"> to insert the " symbol, look carefully at the formula that results. (In macros, we use "" for some reason, but you don't need to know that right now)</t>
    </r>
  </si>
  <si>
    <t>Notice that only the result displayed by cells with formulas is concatenated, not the formula itself.</t>
  </si>
  <si>
    <t>We're going to use &amp; to concatenate some strings/text</t>
  </si>
  <si>
    <t xml:space="preserve">            Main Menu            </t>
  </si>
  <si>
    <t xml:space="preserve">              Exercise              </t>
  </si>
  <si>
    <t xml:space="preserve">       Data worksheet       </t>
  </si>
  <si>
    <t xml:space="preserve">               JUMP TO MAIN MENU               </t>
  </si>
  <si>
    <t xml:space="preserve">               CONTACT INFORMATION               </t>
  </si>
  <si>
    <t xml:space="preserve">Use """ to insert the " symbol, </t>
  </si>
  <si>
    <t xml:space="preserve">look carefully at the resulting formula </t>
  </si>
  <si>
    <t>Wow there are spaces!</t>
  </si>
  <si>
    <t>Recent versions of Excel will allow you to use the TEXTJOIN formula to concatenate text strings with a delimiter</t>
  </si>
  <si>
    <t>Recent versions of Excel will allow you to use the CONCAT formula to concatenate text strings</t>
  </si>
  <si>
    <t>This is very similar to using the &amp; symbol to concatenate.</t>
  </si>
  <si>
    <t xml:space="preserve"> If you want to concatenate several cells in a range, you might find it easier to add a space or delimiter directly in the cells to concatenate.</t>
  </si>
  <si>
    <t>TEXTOIN is a great option when everything needs to be concatenated with the same delimiter.</t>
  </si>
  <si>
    <t>SUPPLEMENTARY INFORMATION</t>
  </si>
  <si>
    <t>Google "Flash fill Excel" to find out more.</t>
  </si>
  <si>
    <t>Flash fill will work best if there's a common pattern to how you want to concatenate cells.</t>
  </si>
  <si>
    <r>
      <t xml:space="preserve">Use the </t>
    </r>
    <r>
      <rPr>
        <sz val="11"/>
        <color rgb="FF002060"/>
        <rFont val="Calibri"/>
        <family val="2"/>
        <scheme val="minor"/>
      </rPr>
      <t>&amp;</t>
    </r>
    <r>
      <rPr>
        <sz val="11"/>
        <color theme="1"/>
        <rFont val="Calibri"/>
        <family val="2"/>
        <scheme val="minor"/>
      </rPr>
      <t xml:space="preserve"> operator to concatenate text, just like you would use + or - to add or substract numbers. Use the address of a cell to concatenate its contents.</t>
    </r>
  </si>
  <si>
    <t>Just like other methods here, it can concatenate across multiple columns (or rows)</t>
  </si>
  <si>
    <t>If cell C47 doesn't seem to display the concatenated version of B45 and B46 with a text in between, you might not have the right version of Excel.</t>
  </si>
  <si>
    <t>Tot Pop 2021</t>
  </si>
  <si>
    <t>Low Income 0 to 17</t>
  </si>
  <si>
    <t>Low Income 18 to 64</t>
  </si>
  <si>
    <t>Low income 65 years and more</t>
  </si>
  <si>
    <t>Owner</t>
  </si>
  <si>
    <t>Renter</t>
  </si>
  <si>
    <t>Barrington</t>
  </si>
  <si>
    <t>Clark's Harbour</t>
  </si>
  <si>
    <t>Shelburne</t>
  </si>
  <si>
    <t>Lockeport</t>
  </si>
  <si>
    <t>Argyle</t>
  </si>
  <si>
    <t>Yarmouth</t>
  </si>
  <si>
    <t>Yarmouth 33</t>
  </si>
  <si>
    <t>Clare</t>
  </si>
  <si>
    <t>Digby</t>
  </si>
  <si>
    <t>Bear River (Part) 6</t>
  </si>
  <si>
    <t>Medway River 11</t>
  </si>
  <si>
    <t>Ponhook Lake 10</t>
  </si>
  <si>
    <t>Queens</t>
  </si>
  <si>
    <t>Wildcat 12</t>
  </si>
  <si>
    <t>Annapolis, Subd. D</t>
  </si>
  <si>
    <t>Annapolis, Subd. A</t>
  </si>
  <si>
    <t>Bear River 6B</t>
  </si>
  <si>
    <t>Annapolis Royal</t>
  </si>
  <si>
    <t>Annapolis, Subd. B</t>
  </si>
  <si>
    <t>Annapolis, Subd. C</t>
  </si>
  <si>
    <t>Middleton</t>
  </si>
  <si>
    <t>Lunenburg</t>
  </si>
  <si>
    <t>Bridgewater</t>
  </si>
  <si>
    <t>Mahone Bay</t>
  </si>
  <si>
    <t>Chester</t>
  </si>
  <si>
    <t>Gold River 21</t>
  </si>
  <si>
    <t>Pennal 19</t>
  </si>
  <si>
    <t>New Ross 20</t>
  </si>
  <si>
    <t>Kings, Subd. A</t>
  </si>
  <si>
    <t>Annapolis Valley First Nation</t>
  </si>
  <si>
    <t>Berwick</t>
  </si>
  <si>
    <t>Kings, Subd. C</t>
  </si>
  <si>
    <t>Kentville</t>
  </si>
  <si>
    <t>Kings, Subd. B</t>
  </si>
  <si>
    <t>Kings, Subd. D</t>
  </si>
  <si>
    <t>Wolfville</t>
  </si>
  <si>
    <t>Glooscap 35</t>
  </si>
  <si>
    <t>West Hants</t>
  </si>
  <si>
    <t>East Hants</t>
  </si>
  <si>
    <t>Indian Brook 14</t>
  </si>
  <si>
    <t>Cole Harbour 30</t>
  </si>
  <si>
    <t>Beaver Lake 17</t>
  </si>
  <si>
    <t>Sheet Harbour 36</t>
  </si>
  <si>
    <t>Wallace Hills 14A</t>
  </si>
  <si>
    <t>Colchester, Subd. C</t>
  </si>
  <si>
    <t>Stewiacke</t>
  </si>
  <si>
    <t>Millbrook 27</t>
  </si>
  <si>
    <t>Truro</t>
  </si>
  <si>
    <t>Colchester, Subd. B</t>
  </si>
  <si>
    <t>Colchester, Subd. A</t>
  </si>
  <si>
    <t>Cumberland, Subd. A</t>
  </si>
  <si>
    <t>Cumberland, Subd. B</t>
  </si>
  <si>
    <t>Cumberland, Subd. C</t>
  </si>
  <si>
    <t>Amherst</t>
  </si>
  <si>
    <t>Oxford</t>
  </si>
  <si>
    <t>Cumberland, Subd. D</t>
  </si>
  <si>
    <t>Pictou, Subd. A</t>
  </si>
  <si>
    <t>Pictou</t>
  </si>
  <si>
    <t>Pictou, Subd. B</t>
  </si>
  <si>
    <t>Westville</t>
  </si>
  <si>
    <t>Stellarton</t>
  </si>
  <si>
    <t>Pictou, Subd. C</t>
  </si>
  <si>
    <t>New Glasgow</t>
  </si>
  <si>
    <t>Trenton</t>
  </si>
  <si>
    <t>Fisher's Grant 24</t>
  </si>
  <si>
    <t>Merigomish Harbour 31</t>
  </si>
  <si>
    <t>St. Mary's</t>
  </si>
  <si>
    <t>Guysborough</t>
  </si>
  <si>
    <t>Mulgrave</t>
  </si>
  <si>
    <t>Antigonish, Subd. A</t>
  </si>
  <si>
    <t>Antigonish</t>
  </si>
  <si>
    <t>Antigonish, Subd. B</t>
  </si>
  <si>
    <t>Paqtnkek-Niktuek No. 23</t>
  </si>
  <si>
    <t>Inverness, Subd. C</t>
  </si>
  <si>
    <t>Port Hawkesbury</t>
  </si>
  <si>
    <t>Malagawatch 4</t>
  </si>
  <si>
    <t>Inverness, Subd. B</t>
  </si>
  <si>
    <t>Whycocomagh 2</t>
  </si>
  <si>
    <t>Inverness, Subd. A</t>
  </si>
  <si>
    <t>Richmond, Subd. C</t>
  </si>
  <si>
    <t>Richmond, Subd. A</t>
  </si>
  <si>
    <t>Richmond, Subd. B</t>
  </si>
  <si>
    <t>Chapel Island 5</t>
  </si>
  <si>
    <t>Membertou 28B</t>
  </si>
  <si>
    <t>Eskasoni 3</t>
  </si>
  <si>
    <t>Cape Breton</t>
  </si>
  <si>
    <t>Victoria, Subd. B</t>
  </si>
  <si>
    <t>Wagmatcook 1</t>
  </si>
  <si>
    <t>Victoria, Subd. A</t>
  </si>
  <si>
    <t>Referencing cell A2 in the 2021 CSD worksheet</t>
  </si>
  <si>
    <t>='2021 CSD'!A2</t>
  </si>
  <si>
    <t>Instructions</t>
  </si>
  <si>
    <t>The 2021 CSD worksheet contains Nova Scotia data from the 2021 census. You get confused when you try to make sense of the geography, so you</t>
  </si>
  <si>
    <t>decide you want to create a single column containing the abbreviation "NS", the number of the census division (CD column), and the number of</t>
  </si>
  <si>
    <t>the subdivision (SUBDIV column) separated by a "-" . Use concatenation in order to achieve this. See the expected results column to get an idea</t>
  </si>
  <si>
    <t>of what your concatenated string should look like.</t>
  </si>
  <si>
    <t xml:space="preserve">You don't need to transfer any data to this worksheet in order for the concatenation to work. You can just select the cell in the other worksheet </t>
  </si>
  <si>
    <t>when typing in your formula, or reference it using the provided example. But I'm in a good mood, so I've gone ahead and copied the data over to</t>
  </si>
  <si>
    <t>CONCATENATION EXERCISE</t>
  </si>
  <si>
    <t>Once you think you understand, go do the exercise!</t>
  </si>
  <si>
    <t>Row in 2021 CSD</t>
  </si>
  <si>
    <t>this worksheet in columns E and F</t>
  </si>
  <si>
    <t>We're going to extract parts of the text contained in a cell.</t>
  </si>
  <si>
    <t>This is REALLY useful!</t>
  </si>
  <si>
    <t>This is amazing! What if I want to do more?</t>
  </si>
  <si>
    <t xml:space="preserve">How do I get started again?
</t>
  </si>
  <si>
    <t>The LEFT function will extract a specified number of characters starting from the left of a string. Don't worry, both text and numbers can be manipulated as strings.</t>
  </si>
  <si>
    <t>The RIGHT function does the same thing, but it starts from the right.</t>
  </si>
  <si>
    <t xml:space="preserve">The MID function lets you extract a specified number of characters, starting from a specified location. </t>
  </si>
  <si>
    <t>The FIND function will try to find a character, and give you the number of its position in a string. We use it to do MAGIC!</t>
  </si>
  <si>
    <t>In-depth look at the MID formula and embedded formulas</t>
  </si>
  <si>
    <t>Recent versions of Excel also allow you to split text with flash fill</t>
  </si>
  <si>
    <t>Recent versions of Excel also allow you to concatenate text with flash fill</t>
  </si>
  <si>
    <t>Flash fill will work best if there's a common pattern to how you want to split your cells.</t>
  </si>
  <si>
    <t>LEFT, RIGHT, MID, FIND, LEN EXERCISE</t>
  </si>
  <si>
    <t>This exercise is harder than it looks, but I believe in you!</t>
  </si>
  <si>
    <t>Scroll down and look at that list of names.</t>
  </si>
  <si>
    <t>Figure out a way to extract the first name and the last name using a formula.</t>
  </si>
  <si>
    <t>Now you'll be able to alphabetize the list by last name!</t>
  </si>
  <si>
    <t>However, it will not update itself dynamically, which means that flash fill is best used when no more modifications will be made to a spreadsheet.</t>
  </si>
  <si>
    <t>Look into Text to Columns</t>
  </si>
  <si>
    <t>Google "Text to Columns" to find out more.</t>
  </si>
  <si>
    <t>Text to columns can split your text at a given delimiter.</t>
  </si>
  <si>
    <r>
      <t xml:space="preserve">However, it will </t>
    </r>
    <r>
      <rPr>
        <i/>
        <sz val="11"/>
        <color theme="1"/>
        <rFont val="Calibri"/>
        <family val="2"/>
        <scheme val="minor"/>
      </rPr>
      <t xml:space="preserve">overwrite </t>
    </r>
    <r>
      <rPr>
        <sz val="11"/>
        <color theme="1"/>
        <rFont val="Calibri"/>
        <family val="2"/>
        <scheme val="minor"/>
      </rPr>
      <t>columns to the right of your initial column, so use carefully!</t>
    </r>
  </si>
  <si>
    <t>Barbara Gordon</t>
  </si>
  <si>
    <t>Cassandra Cain</t>
  </si>
  <si>
    <t>Damian Wayne</t>
  </si>
  <si>
    <t>Helena Rosa Bertinelli</t>
  </si>
  <si>
    <t>Jason Todd</t>
  </si>
  <si>
    <t>Richard John Grayson</t>
  </si>
  <si>
    <t>Roy Harper</t>
  </si>
  <si>
    <t>Selina Kyle</t>
  </si>
  <si>
    <t>Stephanie Brown</t>
  </si>
  <si>
    <t>Tim Drake</t>
  </si>
  <si>
    <t xml:space="preserve">Gordon Barbara </t>
  </si>
  <si>
    <t xml:space="preserve">Wayne Bruce </t>
  </si>
  <si>
    <t xml:space="preserve">Cain Cassandra </t>
  </si>
  <si>
    <t xml:space="preserve">Wayne Damian </t>
  </si>
  <si>
    <t xml:space="preserve">Rosa Bertinelli Helena </t>
  </si>
  <si>
    <t xml:space="preserve">Todd Jason </t>
  </si>
  <si>
    <t xml:space="preserve">John Grayson Richard </t>
  </si>
  <si>
    <t xml:space="preserve">Harper Roy </t>
  </si>
  <si>
    <t xml:space="preserve">Kyle Selina </t>
  </si>
  <si>
    <t xml:space="preserve">Brown Stephanie </t>
  </si>
  <si>
    <t xml:space="preserve">Drake Tim </t>
  </si>
  <si>
    <t>It's really easy, we just have to click lots of stuff in Excel's menu.</t>
  </si>
  <si>
    <t>This example is ready to go, just keep reading!</t>
  </si>
  <si>
    <t>Once you think you understand, go do the easiest exercise yet!</t>
  </si>
  <si>
    <t>If you need a reset, copy-paste the table at the bottom of this worksheet</t>
  </si>
  <si>
    <t>Count of item</t>
  </si>
  <si>
    <t>Item</t>
  </si>
  <si>
    <t>Remove duplicates across two columns</t>
  </si>
  <si>
    <t>Data table</t>
  </si>
  <si>
    <t>Steps</t>
  </si>
  <si>
    <t xml:space="preserve">   Click on the "data" ribbon, and then "Remove duplicates" in the "Data Tools" section.</t>
  </si>
  <si>
    <t xml:space="preserve">   Make sure that there is a checkmark for "My data has headers" and that both columns are selected.</t>
  </si>
  <si>
    <t xml:space="preserve">   Click "Ok". One duplicate value will be removed.</t>
  </si>
  <si>
    <t xml:space="preserve">                                    Return to Dazzling Title Screen                                     </t>
  </si>
  <si>
    <t xml:space="preserve">                                         Need More Help?                                         </t>
  </si>
  <si>
    <t>Remove duplicates across one column</t>
  </si>
  <si>
    <t xml:space="preserve">   Select cells in the table to the right (B25 to C31)</t>
  </si>
  <si>
    <t xml:space="preserve">We're going to get rid of duplicates to get a list of unique values. </t>
  </si>
  <si>
    <t>Conditional formatting</t>
  </si>
  <si>
    <t>Conditional formatting (Home ribbon, Styles section) has a "duplicate values" option under "highlight cell rules".</t>
  </si>
  <si>
    <t>Carefully read every single entry in Excel's help file… :D</t>
  </si>
  <si>
    <r>
      <t xml:space="preserve">It works very differently - it </t>
    </r>
    <r>
      <rPr>
        <i/>
        <sz val="11"/>
        <color theme="1"/>
        <rFont val="Calibri"/>
        <family val="2"/>
        <scheme val="minor"/>
      </rPr>
      <t xml:space="preserve">highlights </t>
    </r>
    <r>
      <rPr>
        <sz val="11"/>
        <color theme="1"/>
        <rFont val="Calibri"/>
        <family val="2"/>
        <scheme val="minor"/>
      </rPr>
      <t>any item that has a duplicate, leave empty of formatting items that are completely unique in a range.</t>
    </r>
  </si>
  <si>
    <t>In our example table, "Turtle Dove" is only found in only one cell, so it's been left in the default format (white background).</t>
  </si>
  <si>
    <t>However, "Golden ring" is in three different cells, so it's been highlighted.</t>
  </si>
  <si>
    <t>Copy the above table, and then click to teleport to the desired reset location. Paste.</t>
  </si>
  <si>
    <t>Because of how Excel handles links, you had to scroll down to get here.</t>
  </si>
  <si>
    <t>You may or may not need to scroll down when clicking on one of the two below example buttons.</t>
  </si>
  <si>
    <t>RESET EXAMPLES</t>
  </si>
  <si>
    <t>REMOVE DUPLICATES EXERCISE</t>
  </si>
  <si>
    <t xml:space="preserve">Don't worry, this one is REALLY easy. Go copy-paste columns A and B from the 2021 CSD worksheet </t>
  </si>
  <si>
    <t>You should find 77 duplicate values, with 19 unique values remaining.</t>
  </si>
  <si>
    <t>Although sometimes these counts change a bit depending on the copy-paste method you used.</t>
  </si>
  <si>
    <t xml:space="preserve">   "Golden ring" is in the list twice because it is paired with "1" in one row, and with "2" in another row.</t>
  </si>
  <si>
    <t xml:space="preserve">   When you want to find unique values in one column, it's easier to copy-paste it elsewhere.</t>
  </si>
  <si>
    <t xml:space="preserve">   But for the sake of this demonstration, select cells in the table to the right (B38 to C44)</t>
  </si>
  <si>
    <t xml:space="preserve">   Excel realizes that there is another column besides this one, but we don't want it.</t>
  </si>
  <si>
    <t xml:space="preserve">   Select "Continue with the current selection" and then "Remove duplicates…"</t>
  </si>
  <si>
    <t xml:space="preserve">   Make sure that there is a checkmark for "My data has headers".</t>
  </si>
  <si>
    <t xml:space="preserve">   Click "Ok". Three duplicate values will be removed.</t>
  </si>
  <si>
    <t xml:space="preserve">   The "Count of item" column no longer makes sense. Select cells B38 to B44 and delete them.</t>
  </si>
  <si>
    <t xml:space="preserve"> into columns G and H of this worksheet. Then remove the duplicates. Easy!</t>
  </si>
  <si>
    <t>I mostly use it to transform formulas into data.</t>
  </si>
  <si>
    <t>I'm making extra sure you know about Paste Special.</t>
  </si>
  <si>
    <t>It is SUCH a useful thing to know.</t>
  </si>
  <si>
    <t>I guess you could explore the different options in the 'Paste Special' menu?</t>
  </si>
  <si>
    <t>The example is ready to go, just keep reading!</t>
  </si>
  <si>
    <t>Select cells containing formulas and copy them using your favorite method.</t>
  </si>
  <si>
    <t>Then click on the arrow under "Paste" in the "Home" ribbon and select one of the options as appropriate.</t>
  </si>
  <si>
    <t>Without moving, select the first option under "Paste values".</t>
  </si>
  <si>
    <t>Alternatively, go to the "Formulas" ribbon and click on "Show Formulas" in the "Formula Auditing" section.</t>
  </si>
  <si>
    <t>Steps | Formulas</t>
  </si>
  <si>
    <t>Try copying in place</t>
  </si>
  <si>
    <t>and pasting as values.</t>
  </si>
  <si>
    <t>See what happens when</t>
  </si>
  <si>
    <t>you copy-paste</t>
  </si>
  <si>
    <t>Click on C32 again and copy it. In the "Clipboard" section of the "Home" ribbon, click on the dropdown arrow under "Paste".</t>
  </si>
  <si>
    <t>If you need a reset, copy-paste from the bottom of this worksheet</t>
  </si>
  <si>
    <t>Use the "Paste as values" button for copy-pasting as data.</t>
  </si>
  <si>
    <t>If you don't quite understand what happens below in the example, reinitialize it by copy pasting the data and formulas at the bottom of the spreadsheet.</t>
  </si>
  <si>
    <t>Click on C32 again and look at the formula bar. Copy-paste C32 to C37 and see what happens. C32 and C37 should be identical.</t>
  </si>
  <si>
    <t>Click on C32 and look at the formula bar. Copy paste C32 to C37 in the worksheet and see what happens. C32 and C37 should be different.</t>
  </si>
  <si>
    <t>RESET EXAMPLE</t>
  </si>
  <si>
    <t>Select cells B47 to C57. Copy</t>
  </si>
  <si>
    <t>Click on cell B32. Paste (using whatever method you usually use to paste content).</t>
  </si>
  <si>
    <t>PASTE AS VALUES EXERCISE</t>
  </si>
  <si>
    <t xml:space="preserve">OH NO! Someone has directly referenced data from the 2021 CSD worksheet in this worksheet. </t>
  </si>
  <si>
    <t xml:space="preserve">This displeases you, for some reason. Perhaps you are afraid of what will happen if you decide to delete the data worksheet? </t>
  </si>
  <si>
    <t xml:space="preserve">You are right to be afraid, if ANYTHING happens to 2021 CSD, then this entire worksheet stops working. </t>
  </si>
  <si>
    <t>For extra security, you decide to transform all the formulas in this worksheet as values, except for the 15+ population total.</t>
  </si>
  <si>
    <t>Total population:</t>
  </si>
  <si>
    <t>Was the formula removed?</t>
  </si>
  <si>
    <t>&lt;-You want formulas on this row of the table removed</t>
  </si>
  <si>
    <t>&lt;-You want to keep the formula on this row of the table</t>
  </si>
  <si>
    <t>You can check your work by clicking on "Show Formulas" in the "Formula Auditing" section of the "Formulas" ribbon.</t>
  </si>
  <si>
    <t>Start by previewing formulas by clicking on "Show Formulas" in the "Formula Auditing" section of the "Formulas" ribbon</t>
  </si>
  <si>
    <t>then turn off "Show Formulas". Transform the formulas in the table into values, skipping the formula that sums up the population total.</t>
  </si>
  <si>
    <t>Table to copy-paste as value</t>
  </si>
  <si>
    <t>Did it work?</t>
  </si>
  <si>
    <t>Table with names to extract</t>
  </si>
  <si>
    <t>Example of a list sorted by last name</t>
  </si>
  <si>
    <t>Table to use to practice concatenation</t>
  </si>
  <si>
    <t>Prov - County - TotPop</t>
  </si>
  <si>
    <t>These let us use criteria in order to add numbers.</t>
  </si>
  <si>
    <t>I'm not sure! Maybe learn about CSE formulas in 2_2?</t>
  </si>
  <si>
    <t>move in the worksheet.</t>
  </si>
  <si>
    <t>Next, give it your criteria so that it can search in the provided range and see if anything fits your criteria.</t>
  </si>
  <si>
    <t>Lastly, tell it what it is adding up.</t>
  </si>
  <si>
    <t>Next, give it the range where you are going to check a criteria.</t>
  </si>
  <si>
    <t>Lastly, tell it what criteria it needs to check.</t>
  </si>
  <si>
    <t>Tool cost table</t>
  </si>
  <si>
    <t>Text of formula</t>
  </si>
  <si>
    <t>Sum of cost of tools</t>
  </si>
  <si>
    <t>Try changing "Hero" to "Villain" or "Ambiguous" and see what happens!</t>
  </si>
  <si>
    <t>Criteria</t>
  </si>
  <si>
    <t>Coolness and annual salary table</t>
  </si>
  <si>
    <t>Sum of salaries</t>
  </si>
  <si>
    <t>&lt;- Try changing the costs and</t>
  </si>
  <si>
    <r>
      <t xml:space="preserve">  </t>
    </r>
    <r>
      <rPr>
        <sz val="11"/>
        <color theme="1"/>
        <rFont val="Calibri"/>
        <family val="2"/>
        <scheme val="minor"/>
      </rPr>
      <t>see what happens to the totals below</t>
    </r>
  </si>
  <si>
    <t>&lt;- Try changing the salaries and</t>
  </si>
  <si>
    <t>Try changing the criteria in the first column and see what happens!</t>
  </si>
  <si>
    <t>Important difference between SumIF and SumIFs</t>
  </si>
  <si>
    <t>We're going to learn about SumIF and SumIFs.</t>
  </si>
  <si>
    <t>SumIF Example</t>
  </si>
  <si>
    <t>Both SumIF and SumIFs use ranges, and you're going to want to use the $ symbol for those so that the ranges will stay the same no matter where you</t>
  </si>
  <si>
    <t>You can repeat the second and third steps for other criteria to check IN OTHER COLUMNS. SumIFs does not understand 'OR' logic, you can't check</t>
  </si>
  <si>
    <t>for more than one criteria in a same column (or at least, not without involving brain breaking arrays or adding SumIFs together).</t>
  </si>
  <si>
    <t>SumIFs Example</t>
  </si>
  <si>
    <r>
      <rPr>
        <b/>
        <sz val="11"/>
        <color theme="1"/>
        <rFont val="Calibri"/>
        <family val="2"/>
        <scheme val="minor"/>
      </rPr>
      <t>SumIF</t>
    </r>
    <r>
      <rPr>
        <sz val="11"/>
        <color theme="1"/>
        <rFont val="Calibri"/>
        <family val="2"/>
        <scheme val="minor"/>
      </rPr>
      <t xml:space="preserve"> has three arguments. First, give it the range of cells in which it is going to lookup a value that will fulfill your desired criteria.</t>
    </r>
  </si>
  <si>
    <r>
      <rPr>
        <b/>
        <sz val="11"/>
        <color theme="1"/>
        <rFont val="Calibri"/>
        <family val="2"/>
        <scheme val="minor"/>
      </rPr>
      <t xml:space="preserve">SumIFs </t>
    </r>
    <r>
      <rPr>
        <sz val="11"/>
        <color theme="1"/>
        <rFont val="Calibri"/>
        <family val="2"/>
        <scheme val="minor"/>
      </rPr>
      <t>needs at least three arguments. First, give it the range of cells that it is going to add.</t>
    </r>
  </si>
  <si>
    <r>
      <t xml:space="preserve">The first argument in SumIF is the </t>
    </r>
    <r>
      <rPr>
        <b/>
        <sz val="11"/>
        <color theme="1"/>
        <rFont val="Calibri"/>
        <family val="2"/>
        <scheme val="minor"/>
      </rPr>
      <t>range containing the criteria</t>
    </r>
    <r>
      <rPr>
        <sz val="11"/>
        <color theme="1"/>
        <rFont val="Calibri"/>
        <family val="2"/>
        <scheme val="minor"/>
      </rPr>
      <t xml:space="preserve">, while the first argument in SumIFs is </t>
    </r>
    <r>
      <rPr>
        <b/>
        <sz val="11"/>
        <color theme="1"/>
        <rFont val="Calibri"/>
        <family val="2"/>
        <scheme val="minor"/>
      </rPr>
      <t>the range to add up together</t>
    </r>
    <r>
      <rPr>
        <sz val="11"/>
        <color theme="1"/>
        <rFont val="Calibri"/>
        <family val="2"/>
        <scheme val="minor"/>
      </rPr>
      <t>.</t>
    </r>
  </si>
  <si>
    <t>=LEFT(B25,2)</t>
  </si>
  <si>
    <t>=MID(B36,4,3)</t>
  </si>
  <si>
    <t>=FIND("-",B36)</t>
  </si>
  <si>
    <t>Counting from the left, that's the number of characters until we get to "-"</t>
  </si>
  <si>
    <t>=MID(B47,4,(FIND("-",B47)-4))</t>
  </si>
  <si>
    <t>=RIGHT(B47,(LEN(B47)-FIND("-",B47)))</t>
  </si>
  <si>
    <r>
      <t>=</t>
    </r>
    <r>
      <rPr>
        <sz val="11"/>
        <color theme="9" tint="-0.249977111117893"/>
        <rFont val="Calibri"/>
        <family val="2"/>
        <scheme val="minor"/>
      </rPr>
      <t>MID</t>
    </r>
    <r>
      <rPr>
        <sz val="11"/>
        <color theme="1"/>
        <rFont val="Calibri"/>
        <family val="2"/>
        <scheme val="minor"/>
      </rPr>
      <t>(</t>
    </r>
    <r>
      <rPr>
        <sz val="11"/>
        <color theme="6"/>
        <rFont val="Calibri"/>
        <family val="2"/>
        <scheme val="minor"/>
      </rPr>
      <t>B47,</t>
    </r>
    <r>
      <rPr>
        <sz val="11"/>
        <color theme="5" tint="-0.249977111117893"/>
        <rFont val="Calibri"/>
        <family val="2"/>
        <scheme val="minor"/>
      </rPr>
      <t>4,</t>
    </r>
    <r>
      <rPr>
        <sz val="11"/>
        <color rgb="FF0070C0"/>
        <rFont val="Calibri"/>
        <family val="2"/>
        <scheme val="minor"/>
      </rPr>
      <t>(FIND(</t>
    </r>
    <r>
      <rPr>
        <sz val="11"/>
        <color theme="7" tint="-0.499984740745262"/>
        <rFont val="Calibri"/>
        <family val="2"/>
        <scheme val="minor"/>
      </rPr>
      <t>"-",B47</t>
    </r>
    <r>
      <rPr>
        <sz val="11"/>
        <color rgb="FF0070C0"/>
        <rFont val="Calibri"/>
        <family val="2"/>
        <scheme val="minor"/>
      </rPr>
      <t>)-4)</t>
    </r>
    <r>
      <rPr>
        <sz val="11"/>
        <color theme="1"/>
        <rFont val="Calibri"/>
        <family val="2"/>
        <scheme val="minor"/>
      </rPr>
      <t>)</t>
    </r>
  </si>
  <si>
    <r>
      <t>So that last part,</t>
    </r>
    <r>
      <rPr>
        <sz val="11"/>
        <color theme="3" tint="0.39997558519241921"/>
        <rFont val="Calibri"/>
        <family val="2"/>
        <scheme val="minor"/>
      </rPr>
      <t>(FIND(</t>
    </r>
    <r>
      <rPr>
        <sz val="11"/>
        <color theme="7" tint="-0.249977111117893"/>
        <rFont val="Calibri"/>
        <family val="2"/>
        <scheme val="minor"/>
      </rPr>
      <t>"-",B47</t>
    </r>
    <r>
      <rPr>
        <sz val="11"/>
        <color theme="1"/>
        <rFont val="Calibri"/>
        <family val="2"/>
        <scheme val="minor"/>
      </rPr>
      <t>)</t>
    </r>
    <r>
      <rPr>
        <sz val="11"/>
        <color theme="3" tint="0.39997558519241921"/>
        <rFont val="Calibri"/>
        <family val="2"/>
        <scheme val="minor"/>
      </rPr>
      <t>-4</t>
    </r>
    <r>
      <rPr>
        <sz val="11"/>
        <color theme="1"/>
        <rFont val="Calibri"/>
        <family val="2"/>
        <scheme val="minor"/>
      </rPr>
      <t xml:space="preserve">) goes together. It uses </t>
    </r>
    <r>
      <rPr>
        <sz val="11"/>
        <color theme="3" tint="0.39997558519241921"/>
        <rFont val="Calibri"/>
        <family val="2"/>
        <scheme val="minor"/>
      </rPr>
      <t>FIND</t>
    </r>
    <r>
      <rPr>
        <sz val="11"/>
        <color theme="1"/>
        <rFont val="Calibri"/>
        <family val="2"/>
        <scheme val="minor"/>
      </rPr>
      <t xml:space="preserve"> to find the number associated with the</t>
    </r>
    <r>
      <rPr>
        <sz val="11"/>
        <color theme="7" tint="-0.249977111117893"/>
        <rFont val="Calibri"/>
        <family val="2"/>
        <scheme val="minor"/>
      </rPr>
      <t xml:space="preserve"> "-"</t>
    </r>
    <r>
      <rPr>
        <sz val="11"/>
        <color theme="1"/>
        <rFont val="Calibri"/>
        <family val="2"/>
        <scheme val="minor"/>
      </rPr>
      <t xml:space="preserve"> symbol in cell </t>
    </r>
    <r>
      <rPr>
        <sz val="11"/>
        <color theme="7" tint="-0.249977111117893"/>
        <rFont val="Calibri"/>
        <family val="2"/>
        <scheme val="minor"/>
      </rPr>
      <t>B47</t>
    </r>
    <r>
      <rPr>
        <sz val="11"/>
        <color theme="1"/>
        <rFont val="Calibri"/>
        <family val="2"/>
        <scheme val="minor"/>
      </rPr>
      <t xml:space="preserve"> then subtracts </t>
    </r>
    <r>
      <rPr>
        <sz val="11"/>
        <color theme="3" tint="0.39997558519241921"/>
        <rFont val="Calibri"/>
        <family val="2"/>
        <scheme val="minor"/>
      </rPr>
      <t>4</t>
    </r>
    <r>
      <rPr>
        <sz val="11"/>
        <color theme="1"/>
        <rFont val="Calibri"/>
        <family val="2"/>
        <scheme val="minor"/>
      </rPr>
      <t>. That gives us the number of characters to extract before we hit the "-" symbol.</t>
    </r>
  </si>
  <si>
    <t xml:space="preserve">To figure out what the heck is happening in a formula, look for the comma "," which separates the arguments. 
</t>
  </si>
  <si>
    <r>
      <t xml:space="preserve">Here, we use </t>
    </r>
    <r>
      <rPr>
        <sz val="11"/>
        <color theme="9" tint="-0.24994659260841701"/>
        <rFont val="Calibri"/>
        <family val="2"/>
        <scheme val="minor"/>
      </rPr>
      <t>MID</t>
    </r>
    <r>
      <rPr>
        <sz val="11"/>
        <color theme="1"/>
        <rFont val="Calibri"/>
        <family val="2"/>
        <scheme val="minor"/>
      </rPr>
      <t xml:space="preserve">, then </t>
    </r>
    <r>
      <rPr>
        <sz val="11"/>
        <color theme="6"/>
        <rFont val="Calibri"/>
        <family val="2"/>
        <scheme val="minor"/>
      </rPr>
      <t>we look at text in a cell</t>
    </r>
    <r>
      <rPr>
        <sz val="11"/>
        <color theme="1"/>
        <rFont val="Calibri"/>
        <family val="2"/>
        <scheme val="minor"/>
      </rPr>
      <t>, then</t>
    </r>
    <r>
      <rPr>
        <sz val="11"/>
        <color theme="5" tint="-0.24994659260841701"/>
        <rFont val="Calibri"/>
        <family val="2"/>
        <scheme val="minor"/>
      </rPr>
      <t xml:space="preserve"> we give the number of characters from which to start the extraction</t>
    </r>
    <r>
      <rPr>
        <sz val="11"/>
        <color theme="1"/>
        <rFont val="Calibri"/>
        <family val="2"/>
        <scheme val="minor"/>
      </rPr>
      <t xml:space="preserve">, then </t>
    </r>
    <r>
      <rPr>
        <sz val="11"/>
        <color rgb="FF0070C0"/>
        <rFont val="Calibri"/>
        <family val="2"/>
        <scheme val="minor"/>
      </rPr>
      <t>we give the number of characters to extract</t>
    </r>
    <r>
      <rPr>
        <sz val="11"/>
        <color theme="1"/>
        <rFont val="Calibri"/>
        <family val="2"/>
        <scheme val="minor"/>
      </rPr>
      <t xml:space="preserve">. To do that last part, we use </t>
    </r>
    <r>
      <rPr>
        <sz val="11"/>
        <color rgb="FF0070C0"/>
        <rFont val="Calibri"/>
        <family val="2"/>
        <scheme val="minor"/>
      </rPr>
      <t>FIND</t>
    </r>
    <r>
      <rPr>
        <sz val="11"/>
        <color theme="1"/>
        <rFont val="Calibri"/>
        <family val="2"/>
        <scheme val="minor"/>
      </rPr>
      <t>, which itself will look for a symbol "-" in a given cell (B47).</t>
    </r>
  </si>
  <si>
    <t>=SUMIF($B$35:$B$39,B44,$E$35:$E$39)</t>
  </si>
  <si>
    <t>=SUMIF($B$35:$B$39,B49,$E$35:$E$39)+SUMIF($B$35:$B$39,B50,$E$35:$E$39)</t>
  </si>
  <si>
    <t>=SUMIFS($E$56:$E$60,$B$56:$B$60,B65)</t>
  </si>
  <si>
    <t>SUMIFS($E$56:$E$60,$B$56:$B$60,B70,$D$56:$D$60,B71)</t>
  </si>
  <si>
    <t>In-depth look at the SumIFs formula</t>
  </si>
  <si>
    <t xml:space="preserve">Sure, this formula entered in cell C70 looks like a lot of gibberish, until you remember to look for the comma "," which separates the arguments.
</t>
  </si>
  <si>
    <r>
      <t xml:space="preserve">In the first part, </t>
    </r>
    <r>
      <rPr>
        <b/>
        <sz val="11"/>
        <color theme="5"/>
        <rFont val="Calibri"/>
        <family val="2"/>
        <scheme val="minor"/>
      </rPr>
      <t>$E$56:$E$60</t>
    </r>
    <r>
      <rPr>
        <sz val="11"/>
        <color theme="1"/>
        <rFont val="Calibri"/>
        <family val="2"/>
        <scheme val="minor"/>
      </rPr>
      <t>, we tell Excel that we want to add numbers in the last column (column E) of the coolness and annual salary table.</t>
    </r>
  </si>
  <si>
    <r>
      <t xml:space="preserve"> The "</t>
    </r>
    <r>
      <rPr>
        <b/>
        <sz val="11"/>
        <color theme="1"/>
        <rFont val="Calibri"/>
        <family val="2"/>
        <scheme val="minor"/>
      </rPr>
      <t>$</t>
    </r>
    <r>
      <rPr>
        <sz val="11"/>
        <color theme="1"/>
        <rFont val="Calibri"/>
        <family val="2"/>
        <scheme val="minor"/>
      </rPr>
      <t>" sign is used for absolute referencing. It mean that if we copy-paste this formula elsewhere, it is still going to look at the exact same range/table.</t>
    </r>
  </si>
  <si>
    <r>
      <t xml:space="preserve">Next, we tell Excel where to look for a criteria </t>
    </r>
    <r>
      <rPr>
        <i/>
        <sz val="11"/>
        <color theme="1"/>
        <rFont val="Calibri"/>
        <family val="2"/>
        <scheme val="minor"/>
      </rPr>
      <t>in the table</t>
    </r>
    <r>
      <rPr>
        <sz val="11"/>
        <color theme="1"/>
        <rFont val="Calibri"/>
        <family val="2"/>
        <scheme val="minor"/>
      </rPr>
      <t xml:space="preserve">. We want it to look at the "Status" column (column B) that identifies heroes and villains in the "Coolness" table: </t>
    </r>
    <r>
      <rPr>
        <b/>
        <sz val="11"/>
        <color theme="3"/>
        <rFont val="Calibri"/>
        <family val="2"/>
        <scheme val="minor"/>
      </rPr>
      <t>$B$56:$B$60</t>
    </r>
  </si>
  <si>
    <r>
      <t>=SUMIFS(</t>
    </r>
    <r>
      <rPr>
        <b/>
        <sz val="11"/>
        <color theme="5"/>
        <rFont val="Calibri"/>
        <family val="2"/>
        <scheme val="minor"/>
      </rPr>
      <t>$E$56:$E$60</t>
    </r>
    <r>
      <rPr>
        <b/>
        <sz val="11"/>
        <rFont val="Calibri"/>
        <family val="2"/>
        <scheme val="minor"/>
      </rPr>
      <t>,</t>
    </r>
    <r>
      <rPr>
        <b/>
        <sz val="11"/>
        <color theme="3"/>
        <rFont val="Calibri"/>
        <family val="2"/>
        <scheme val="minor"/>
      </rPr>
      <t>$B$56:$B$60</t>
    </r>
    <r>
      <rPr>
        <b/>
        <sz val="11"/>
        <rFont val="Calibri"/>
        <family val="2"/>
        <scheme val="minor"/>
      </rPr>
      <t>,</t>
    </r>
    <r>
      <rPr>
        <b/>
        <sz val="11"/>
        <color rgb="FF00B0F0"/>
        <rFont val="Calibri"/>
        <family val="2"/>
        <scheme val="minor"/>
      </rPr>
      <t>B70</t>
    </r>
    <r>
      <rPr>
        <b/>
        <sz val="11"/>
        <rFont val="Calibri"/>
        <family val="2"/>
        <scheme val="minor"/>
      </rPr>
      <t>,</t>
    </r>
    <r>
      <rPr>
        <b/>
        <sz val="11"/>
        <color rgb="FF00B050"/>
        <rFont val="Calibri"/>
        <family val="2"/>
        <scheme val="minor"/>
      </rPr>
      <t>$D$56:$D$60</t>
    </r>
    <r>
      <rPr>
        <b/>
        <sz val="11"/>
        <rFont val="Calibri"/>
        <family val="2"/>
        <scheme val="minor"/>
      </rPr>
      <t>,</t>
    </r>
    <r>
      <rPr>
        <b/>
        <sz val="11"/>
        <color theme="6" tint="-0.499984740745262"/>
        <rFont val="Calibri"/>
        <family val="2"/>
        <scheme val="minor"/>
      </rPr>
      <t>B71</t>
    </r>
    <r>
      <rPr>
        <b/>
        <sz val="11"/>
        <rFont val="Calibri"/>
        <family val="2"/>
        <scheme val="minor"/>
      </rPr>
      <t>)</t>
    </r>
  </si>
  <si>
    <r>
      <t xml:space="preserve">We then want Excel to check the contents of that column against our desired criteria. Here, we've given it </t>
    </r>
    <r>
      <rPr>
        <b/>
        <sz val="11"/>
        <color rgb="FF00B0F0"/>
        <rFont val="Calibri"/>
        <family val="2"/>
        <scheme val="minor"/>
      </rPr>
      <t>B70</t>
    </r>
    <r>
      <rPr>
        <sz val="11"/>
        <color theme="1"/>
        <rFont val="Calibri"/>
        <family val="2"/>
        <scheme val="minor"/>
      </rPr>
      <t>, the address of a cell that contains "Hero" or "Villain" or "Ambiguous".</t>
    </r>
  </si>
  <si>
    <r>
      <t xml:space="preserve">Rinse and repeat for the next criteria! We look in the "Coolness" column (column D - </t>
    </r>
    <r>
      <rPr>
        <b/>
        <sz val="11"/>
        <color rgb="FF00B050"/>
        <rFont val="Calibri"/>
        <family val="2"/>
        <scheme val="minor"/>
      </rPr>
      <t>$D$56:$D$60</t>
    </r>
    <r>
      <rPr>
        <sz val="11"/>
        <color theme="1"/>
        <rFont val="Calibri"/>
        <family val="2"/>
        <scheme val="minor"/>
      </rPr>
      <t>) and check the coolness against our desired criteria in cell</t>
    </r>
    <r>
      <rPr>
        <b/>
        <sz val="11"/>
        <color theme="6" tint="-0.499984740745262"/>
        <rFont val="Calibri"/>
        <family val="2"/>
        <scheme val="minor"/>
      </rPr>
      <t xml:space="preserve"> B71</t>
    </r>
    <r>
      <rPr>
        <sz val="11"/>
        <color theme="1"/>
        <rFont val="Calibri"/>
        <family val="2"/>
        <scheme val="minor"/>
      </rPr>
      <t>.</t>
    </r>
  </si>
  <si>
    <t>When entering a formula, highlight an argument and hit F4 on your keyboard to quickly toggle on absolute referencing.</t>
  </si>
  <si>
    <t>SUMIF AND SUMIFS EXERCISE</t>
  </si>
  <si>
    <t>We're going to estimate the total population (contained in column E of the 2021 CSD worksheet) for each census division in NS.</t>
  </si>
  <si>
    <t>You'll notice that census divisions appear more than once in the 2021 CSD worksheet.</t>
  </si>
  <si>
    <t>First of all, I've prepared a lot of things for you, using concepts we've already covered:</t>
  </si>
  <si>
    <t>SUB</t>
  </si>
  <si>
    <t xml:space="preserve">2 - I changed a "1" CD to a "5" (in H2) for the purposes of making sure that you are using absolute addresses in your ranges </t>
  </si>
  <si>
    <t xml:space="preserve">    and to illustrate that content in columns does not need to be in order...</t>
  </si>
  <si>
    <t>3 - I've copied-pasted column H into column M.</t>
  </si>
  <si>
    <t>5 - I copy-pasted column M into the exercise's column B below.</t>
  </si>
  <si>
    <t>4 - I removed duplicates from column M.</t>
  </si>
  <si>
    <t>1 - I've copied columns B, C, D and E of the 2021 CSD worksheet into columns H, I, J, and K of this worksheet.</t>
  </si>
  <si>
    <t>Unique CD</t>
  </si>
  <si>
    <t>Now, I trust YOU to enter a formula in column C that will use SumIF and the values in column B to find the total population</t>
  </si>
  <si>
    <t>(column K) by census division according to the 2021 CSD worksheet. And do the same in column D for SumIFs.</t>
  </si>
  <si>
    <t>Table to use to practice SumIF and SumIFs</t>
  </si>
  <si>
    <t>SumIf TotPop</t>
  </si>
  <si>
    <t>SumIfs TotPop</t>
  </si>
  <si>
    <t>There are 96 rows in column I: row 1 has the header, and rows 2 to 96 contain data.</t>
  </si>
  <si>
    <t>Census Division</t>
  </si>
  <si>
    <t>Vlookup is fun. It'll go look up stuff for you. You like having fun, right?</t>
  </si>
  <si>
    <t>You could also try Hlookup and in recent versions of Excel, Xlookup.</t>
  </si>
  <si>
    <t>Google wildcards in Vlookup. And learn about TRIM (important).</t>
  </si>
  <si>
    <t>When you're feeling confident in your skills, Google 'Excel' and 'Index Match'</t>
  </si>
  <si>
    <t xml:space="preserve">Vlookup will put data in your cell by looking up values in another column. It has four arguments. </t>
  </si>
  <si>
    <r>
      <rPr>
        <b/>
        <sz val="11"/>
        <color theme="1"/>
        <rFont val="Calibri"/>
        <family val="2"/>
        <scheme val="minor"/>
      </rPr>
      <t>First</t>
    </r>
    <r>
      <rPr>
        <sz val="11"/>
        <color theme="1"/>
        <rFont val="Calibri"/>
        <family val="2"/>
        <scheme val="minor"/>
      </rPr>
      <t>, it needs to know what it will be looking up.</t>
    </r>
  </si>
  <si>
    <r>
      <rPr>
        <b/>
        <sz val="11"/>
        <color theme="1"/>
        <rFont val="Calibri"/>
        <family val="2"/>
        <scheme val="minor"/>
      </rPr>
      <t>Second</t>
    </r>
    <r>
      <rPr>
        <sz val="11"/>
        <color theme="1"/>
        <rFont val="Calibri"/>
        <family val="2"/>
        <scheme val="minor"/>
      </rPr>
      <t xml:space="preserve">, it wants to know the range in which it will be looking up whatever it is you need it to look up. </t>
    </r>
  </si>
  <si>
    <t xml:space="preserve">Whenever you're working with ranges or arrays, it's usually a good idea to use the "$" symbols. </t>
  </si>
  <si>
    <r>
      <rPr>
        <b/>
        <sz val="11"/>
        <color theme="1"/>
        <rFont val="Calibri"/>
        <family val="2"/>
        <scheme val="minor"/>
      </rPr>
      <t>Third</t>
    </r>
    <r>
      <rPr>
        <sz val="11"/>
        <color theme="1"/>
        <rFont val="Calibri"/>
        <family val="2"/>
        <scheme val="minor"/>
      </rPr>
      <t>, it wants the number of the column in the range from which it will be extracting data.</t>
    </r>
  </si>
  <si>
    <r>
      <rPr>
        <b/>
        <sz val="11"/>
        <color theme="1"/>
        <rFont val="Calibri"/>
        <family val="2"/>
        <scheme val="minor"/>
      </rPr>
      <t>Lastly</t>
    </r>
    <r>
      <rPr>
        <sz val="11"/>
        <color theme="1"/>
        <rFont val="Calibri"/>
        <family val="2"/>
        <scheme val="minor"/>
      </rPr>
      <t>, it wants to know if you need an exact match or not. "FALSE" is almost always the option you want to use here.</t>
    </r>
  </si>
  <si>
    <t>And keep in mind that Vlookup never worries about capitalization.</t>
  </si>
  <si>
    <t>In the examples below, we have a nice table of sounds that animals make…</t>
  </si>
  <si>
    <t>…while Farmer Ted has a list of animals for which he would like to automatically associate sounds.</t>
  </si>
  <si>
    <t>Table of animals and the sounds that they make</t>
  </si>
  <si>
    <t>Farmer Ted's list of animals</t>
  </si>
  <si>
    <t>Animal Names</t>
  </si>
  <si>
    <t>=VLOOKUP(F36,$B$36:$C$42,2,FALSE)</t>
  </si>
  <si>
    <t xml:space="preserve">                                                       </t>
  </si>
  <si>
    <t xml:space="preserve">                </t>
  </si>
  <si>
    <t>In-depth look at the Vlookup formula</t>
  </si>
  <si>
    <r>
      <t>=vlookup(</t>
    </r>
    <r>
      <rPr>
        <b/>
        <sz val="11"/>
        <color theme="9" tint="-0.249977111117893"/>
        <rFont val="Calibri"/>
        <family val="2"/>
        <scheme val="minor"/>
      </rPr>
      <t>F46,</t>
    </r>
    <r>
      <rPr>
        <b/>
        <sz val="11"/>
        <color theme="3" tint="0.39997558519241921"/>
        <rFont val="Calibri"/>
        <family val="2"/>
        <scheme val="minor"/>
      </rPr>
      <t>$B$36:$C$42,</t>
    </r>
    <r>
      <rPr>
        <b/>
        <sz val="11"/>
        <color theme="6" tint="-0.249977111117893"/>
        <rFont val="Calibri"/>
        <family val="2"/>
        <scheme val="minor"/>
      </rPr>
      <t>2,</t>
    </r>
    <r>
      <rPr>
        <b/>
        <sz val="11"/>
        <color rgb="FF7030A0"/>
        <rFont val="Calibri"/>
        <family val="2"/>
        <scheme val="minor"/>
      </rPr>
      <t>False</t>
    </r>
    <r>
      <rPr>
        <b/>
        <sz val="11"/>
        <rFont val="Calibri"/>
        <family val="2"/>
        <scheme val="minor"/>
      </rPr>
      <t>)</t>
    </r>
  </si>
  <si>
    <r>
      <rPr>
        <b/>
        <sz val="11"/>
        <color theme="1"/>
        <rFont val="Calibri"/>
        <family val="2"/>
        <scheme val="minor"/>
      </rPr>
      <t>First</t>
    </r>
    <r>
      <rPr>
        <sz val="11"/>
        <color theme="1"/>
        <rFont val="Calibri"/>
        <family val="2"/>
        <scheme val="minor"/>
      </rPr>
      <t>, we tell Excel we want to lookup</t>
    </r>
    <r>
      <rPr>
        <sz val="11"/>
        <color theme="9" tint="-0.249977111117893"/>
        <rFont val="Calibri"/>
        <family val="2"/>
        <scheme val="minor"/>
      </rPr>
      <t xml:space="preserve"> </t>
    </r>
    <r>
      <rPr>
        <b/>
        <sz val="11"/>
        <color theme="9" tint="-0.249977111117893"/>
        <rFont val="Calibri"/>
        <family val="2"/>
        <scheme val="minor"/>
      </rPr>
      <t>"Cat"</t>
    </r>
    <r>
      <rPr>
        <sz val="11"/>
        <color theme="1"/>
        <rFont val="Calibri"/>
        <family val="2"/>
        <scheme val="minor"/>
      </rPr>
      <t xml:space="preserve"> or whatever is contained in cell </t>
    </r>
    <r>
      <rPr>
        <b/>
        <sz val="11"/>
        <color theme="9" tint="-0.249977111117893"/>
        <rFont val="Calibri"/>
        <family val="2"/>
        <scheme val="minor"/>
      </rPr>
      <t>F46</t>
    </r>
    <r>
      <rPr>
        <sz val="11"/>
        <color theme="1"/>
        <rFont val="Calibri"/>
        <family val="2"/>
        <scheme val="minor"/>
      </rPr>
      <t>.</t>
    </r>
  </si>
  <si>
    <r>
      <rPr>
        <b/>
        <sz val="11"/>
        <color theme="1"/>
        <rFont val="Calibri"/>
        <family val="2"/>
        <scheme val="minor"/>
      </rPr>
      <t>Third</t>
    </r>
    <r>
      <rPr>
        <sz val="11"/>
        <color theme="1"/>
        <rFont val="Calibri"/>
        <family val="2"/>
        <scheme val="minor"/>
      </rPr>
      <t>, the number</t>
    </r>
    <r>
      <rPr>
        <sz val="11"/>
        <color theme="6" tint="-0.249977111117893"/>
        <rFont val="Calibri"/>
        <family val="2"/>
        <scheme val="minor"/>
      </rPr>
      <t xml:space="preserve"> "</t>
    </r>
    <r>
      <rPr>
        <b/>
        <sz val="11"/>
        <color theme="6" tint="-0.249977111117893"/>
        <rFont val="Calibri"/>
        <family val="2"/>
        <scheme val="minor"/>
      </rPr>
      <t>2</t>
    </r>
    <r>
      <rPr>
        <sz val="11"/>
        <color theme="6" tint="-0.249977111117893"/>
        <rFont val="Calibri"/>
        <family val="2"/>
        <scheme val="minor"/>
      </rPr>
      <t xml:space="preserve">" </t>
    </r>
    <r>
      <rPr>
        <sz val="11"/>
        <color theme="1"/>
        <rFont val="Calibri"/>
        <family val="2"/>
        <scheme val="minor"/>
      </rPr>
      <t>tells Excel that what we want to retrieve is the content of the second column in our range.</t>
    </r>
  </si>
  <si>
    <r>
      <rPr>
        <b/>
        <sz val="11"/>
        <color theme="1"/>
        <rFont val="Calibri"/>
        <family val="2"/>
        <scheme val="minor"/>
      </rPr>
      <t>Second</t>
    </r>
    <r>
      <rPr>
        <sz val="11"/>
        <color theme="1"/>
        <rFont val="Calibri"/>
        <family val="2"/>
        <scheme val="minor"/>
      </rPr>
      <t>, we tell Excel we'll be looking that up in our table of animal sounds, in a range,</t>
    </r>
    <r>
      <rPr>
        <sz val="11"/>
        <color theme="3" tint="0.39997558519241921"/>
        <rFont val="Calibri"/>
        <family val="2"/>
        <scheme val="minor"/>
      </rPr>
      <t xml:space="preserve"> </t>
    </r>
    <r>
      <rPr>
        <b/>
        <sz val="11"/>
        <color theme="3" tint="0.39997558519241921"/>
        <rFont val="Calibri"/>
        <family val="2"/>
        <scheme val="minor"/>
      </rPr>
      <t>B36 to C42 ($B$36:$C$42)</t>
    </r>
    <r>
      <rPr>
        <sz val="11"/>
        <color theme="1"/>
        <rFont val="Calibri"/>
        <family val="2"/>
        <scheme val="minor"/>
      </rPr>
      <t>.</t>
    </r>
  </si>
  <si>
    <t>Animals are in the first column, sounds in the second column. So look for "Cat", and tell us what sound the "cat" makes.</t>
  </si>
  <si>
    <r>
      <rPr>
        <b/>
        <sz val="11"/>
        <rFont val="Calibri"/>
        <family val="2"/>
        <scheme val="minor"/>
      </rPr>
      <t xml:space="preserve">Fourth </t>
    </r>
    <r>
      <rPr>
        <sz val="11"/>
        <color theme="7" tint="-0.249977111117893"/>
        <rFont val="Calibri"/>
        <family val="2"/>
        <scheme val="minor"/>
      </rPr>
      <t>"</t>
    </r>
    <r>
      <rPr>
        <b/>
        <sz val="11"/>
        <color theme="7" tint="-0.249977111117893"/>
        <rFont val="Calibri"/>
        <family val="2"/>
        <scheme val="minor"/>
      </rPr>
      <t>False</t>
    </r>
    <r>
      <rPr>
        <sz val="11"/>
        <color theme="7" tint="-0.249977111117893"/>
        <rFont val="Calibri"/>
        <family val="2"/>
        <scheme val="minor"/>
      </rPr>
      <t>"</t>
    </r>
    <r>
      <rPr>
        <sz val="11"/>
        <color theme="1"/>
        <rFont val="Calibri"/>
        <family val="2"/>
        <scheme val="minor"/>
      </rPr>
      <t xml:space="preserve"> tells Excel that we want an exact match.</t>
    </r>
  </si>
  <si>
    <t>Handling error messages</t>
  </si>
  <si>
    <t>When Vlookup can't find what it's looking for, it returns an error message #N/A. You'll notice above that this happened to Later the Gator in</t>
  </si>
  <si>
    <t>cell G44. This is really annoying when trying to analyze your data - the error propates to your various formulas. If you want, you can encapsulate</t>
  </si>
  <si>
    <r>
      <t xml:space="preserve">Vlookup inside the </t>
    </r>
    <r>
      <rPr>
        <b/>
        <sz val="11"/>
        <color theme="1"/>
        <rFont val="Calibri"/>
        <family val="2"/>
        <scheme val="minor"/>
      </rPr>
      <t>IfError</t>
    </r>
    <r>
      <rPr>
        <sz val="11"/>
        <color theme="1"/>
        <rFont val="Calibri"/>
        <family val="2"/>
        <scheme val="minor"/>
      </rPr>
      <t xml:space="preserve"> formula to return a message saying that the value was not found instead. Look at 2_5 if you want to learn a bit more</t>
    </r>
  </si>
  <si>
    <t>about using IF logic in your formulas.</t>
  </si>
  <si>
    <t>No Gators in table of animals -&gt;</t>
  </si>
  <si>
    <t>Simple Vlookup example and error handling</t>
  </si>
  <si>
    <t>Simple Vlookup</t>
  </si>
  <si>
    <t>Error handling</t>
  </si>
  <si>
    <t>Vlookup with wildcards</t>
  </si>
  <si>
    <t>With Wildcards</t>
  </si>
  <si>
    <t>Fuzzy animals - Exact matches won't work</t>
  </si>
  <si>
    <t>=VLOOKUP(F71,$B$71:$C$77,2,FALSE)</t>
  </si>
  <si>
    <r>
      <rPr>
        <b/>
        <sz val="11"/>
        <color theme="1"/>
        <rFont val="Calibri"/>
        <family val="2"/>
        <scheme val="minor"/>
      </rPr>
      <t xml:space="preserve">A </t>
    </r>
    <r>
      <rPr>
        <sz val="11"/>
        <color theme="1"/>
        <rFont val="Calibri"/>
        <family val="2"/>
        <scheme val="minor"/>
      </rPr>
      <t>cat</t>
    </r>
  </si>
  <si>
    <r>
      <rPr>
        <b/>
        <sz val="11"/>
        <color theme="1"/>
        <rFont val="Calibri"/>
        <family val="2"/>
        <scheme val="minor"/>
      </rPr>
      <t xml:space="preserve">The </t>
    </r>
    <r>
      <rPr>
        <sz val="11"/>
        <color theme="1"/>
        <rFont val="Calibri"/>
        <family val="2"/>
        <scheme val="minor"/>
      </rPr>
      <t>giraffe</t>
    </r>
  </si>
  <si>
    <r>
      <rPr>
        <b/>
        <sz val="11"/>
        <color theme="1"/>
        <rFont val="Calibri"/>
        <family val="2"/>
        <scheme val="minor"/>
      </rPr>
      <t xml:space="preserve">Cricket </t>
    </r>
    <r>
      <rPr>
        <sz val="11"/>
        <color theme="1"/>
        <rFont val="Calibri"/>
        <family val="2"/>
        <scheme val="minor"/>
      </rPr>
      <t>Cricket</t>
    </r>
  </si>
  <si>
    <r>
      <rPr>
        <b/>
        <sz val="11"/>
        <color theme="1"/>
        <rFont val="Calibri"/>
        <family val="2"/>
        <scheme val="minor"/>
      </rPr>
      <t xml:space="preserve">Wow </t>
    </r>
    <r>
      <rPr>
        <sz val="11"/>
        <color theme="1"/>
        <rFont val="Calibri"/>
        <family val="2"/>
        <scheme val="minor"/>
      </rPr>
      <t>Cow</t>
    </r>
  </si>
  <si>
    <r>
      <rPr>
        <b/>
        <sz val="11"/>
        <color theme="1"/>
        <rFont val="Calibri"/>
        <family val="2"/>
        <scheme val="minor"/>
      </rPr>
      <t xml:space="preserve">Big </t>
    </r>
    <r>
      <rPr>
        <sz val="11"/>
        <color theme="1"/>
        <rFont val="Calibri"/>
        <family val="2"/>
        <scheme val="minor"/>
      </rPr>
      <t>pig</t>
    </r>
  </si>
  <si>
    <r>
      <t>Duck</t>
    </r>
    <r>
      <rPr>
        <b/>
        <sz val="11"/>
        <color theme="1"/>
        <rFont val="Calibri"/>
        <family val="2"/>
        <scheme val="minor"/>
      </rPr>
      <t xml:space="preserve"> goose</t>
    </r>
  </si>
  <si>
    <r>
      <rPr>
        <b/>
        <sz val="11"/>
        <color theme="1"/>
        <rFont val="Calibri"/>
        <family val="2"/>
        <scheme val="minor"/>
      </rPr>
      <t xml:space="preserve">Wow </t>
    </r>
    <r>
      <rPr>
        <sz val="11"/>
        <color theme="1"/>
        <rFont val="Calibri"/>
        <family val="2"/>
        <scheme val="minor"/>
      </rPr>
      <t xml:space="preserve">dog </t>
    </r>
    <r>
      <rPr>
        <b/>
        <sz val="11"/>
        <color theme="1"/>
        <rFont val="Calibri"/>
        <family val="2"/>
        <scheme val="minor"/>
      </rPr>
      <t>wow</t>
    </r>
  </si>
  <si>
    <t>=IFERROR(VLOOKUP(F36,$B$36:$C$42,2,FALSE),"NOT FOUND!!!")</t>
  </si>
  <si>
    <t>=VLOOKUP("*"&amp;F71&amp;"*",$B$71:$C$77,2,FALSE)</t>
  </si>
  <si>
    <t>Vlookup also works with wildcards. Like "*" &amp; F71 &amp; "*". Um…just…look at the example, I guess.</t>
  </si>
  <si>
    <t>Vlookup, Hlookup, Xlookup, Index Match</t>
  </si>
  <si>
    <r>
      <rPr>
        <b/>
        <sz val="11"/>
        <color theme="1"/>
        <rFont val="Calibri"/>
        <family val="2"/>
        <scheme val="minor"/>
      </rPr>
      <t>Vlookup's</t>
    </r>
    <r>
      <rPr>
        <sz val="11"/>
        <color theme="1"/>
        <rFont val="Calibri"/>
        <family val="2"/>
        <scheme val="minor"/>
      </rPr>
      <t xml:space="preserve"> biggest strength is that it's easier to teach and practice with than the other methods!</t>
    </r>
  </si>
  <si>
    <r>
      <t xml:space="preserve">Use </t>
    </r>
    <r>
      <rPr>
        <b/>
        <sz val="11"/>
        <color theme="1"/>
        <rFont val="Calibri"/>
        <family val="2"/>
        <scheme val="minor"/>
      </rPr>
      <t xml:space="preserve">Hlookup </t>
    </r>
    <r>
      <rPr>
        <sz val="11"/>
        <color theme="1"/>
        <rFont val="Calibri"/>
        <family val="2"/>
        <scheme val="minor"/>
      </rPr>
      <t>to lookup values across columns instead of across rows.</t>
    </r>
  </si>
  <si>
    <r>
      <t xml:space="preserve">If you have a recent version of Excel, use </t>
    </r>
    <r>
      <rPr>
        <b/>
        <sz val="11"/>
        <color theme="1"/>
        <rFont val="Calibri"/>
        <family val="2"/>
        <scheme val="minor"/>
      </rPr>
      <t xml:space="preserve">Xlookup </t>
    </r>
    <r>
      <rPr>
        <sz val="11"/>
        <color theme="1"/>
        <rFont val="Calibri"/>
        <family val="2"/>
        <scheme val="minor"/>
      </rPr>
      <t xml:space="preserve">instead of </t>
    </r>
    <r>
      <rPr>
        <b/>
        <sz val="11"/>
        <color theme="1"/>
        <rFont val="Calibri"/>
        <family val="2"/>
        <scheme val="minor"/>
      </rPr>
      <t xml:space="preserve">Vlookup. </t>
    </r>
    <r>
      <rPr>
        <sz val="11"/>
        <color theme="1"/>
        <rFont val="Calibri"/>
        <family val="2"/>
        <scheme val="minor"/>
      </rPr>
      <t>It has the benefit of handling errors without nesting inside an IFERROR.</t>
    </r>
  </si>
  <si>
    <r>
      <t xml:space="preserve">If you are very confident with Excel, or need efficiency (such as when working with hundreds of thousands of rows of data), look into </t>
    </r>
    <r>
      <rPr>
        <b/>
        <sz val="11"/>
        <color theme="1"/>
        <rFont val="Calibri"/>
        <family val="2"/>
        <scheme val="minor"/>
      </rPr>
      <t>Index Match</t>
    </r>
  </si>
  <si>
    <t>Animal to look up</t>
  </si>
  <si>
    <t>Vlookup</t>
  </si>
  <si>
    <t>Xlookup</t>
  </si>
  <si>
    <t>Index Match</t>
  </si>
  <si>
    <t>Active formula</t>
  </si>
  <si>
    <t>Formula text</t>
  </si>
  <si>
    <t>Value to lookup</t>
  </si>
  <si>
    <t>Animal column</t>
  </si>
  <si>
    <t>Sound column</t>
  </si>
  <si>
    <t>Exact match</t>
  </si>
  <si>
    <r>
      <t>=VLOOKUP(</t>
    </r>
    <r>
      <rPr>
        <b/>
        <sz val="11"/>
        <color theme="5"/>
        <rFont val="Calibri"/>
        <family val="2"/>
        <scheme val="minor"/>
      </rPr>
      <t>C102</t>
    </r>
    <r>
      <rPr>
        <b/>
        <sz val="11"/>
        <color theme="1"/>
        <rFont val="Calibri"/>
        <family val="2"/>
        <scheme val="minor"/>
      </rPr>
      <t>,</t>
    </r>
    <r>
      <rPr>
        <b/>
        <sz val="11"/>
        <color theme="8"/>
        <rFont val="Calibri"/>
        <family val="2"/>
        <scheme val="minor"/>
      </rPr>
      <t>$B$94:$C$100</t>
    </r>
    <r>
      <rPr>
        <b/>
        <sz val="11"/>
        <color theme="1"/>
        <rFont val="Calibri"/>
        <family val="2"/>
        <scheme val="minor"/>
      </rPr>
      <t>,</t>
    </r>
    <r>
      <rPr>
        <b/>
        <sz val="11"/>
        <color rgb="FF00B050"/>
        <rFont val="Calibri"/>
        <family val="2"/>
        <scheme val="minor"/>
      </rPr>
      <t>2</t>
    </r>
    <r>
      <rPr>
        <b/>
        <sz val="11"/>
        <color theme="1"/>
        <rFont val="Calibri"/>
        <family val="2"/>
        <scheme val="minor"/>
      </rPr>
      <t>,</t>
    </r>
    <r>
      <rPr>
        <b/>
        <sz val="11"/>
        <color rgb="FFFF0000"/>
        <rFont val="Calibri"/>
        <family val="2"/>
        <scheme val="minor"/>
      </rPr>
      <t>FALSE</t>
    </r>
    <r>
      <rPr>
        <b/>
        <sz val="11"/>
        <color theme="1"/>
        <rFont val="Calibri"/>
        <family val="2"/>
        <scheme val="minor"/>
      </rPr>
      <t>)</t>
    </r>
  </si>
  <si>
    <r>
      <t>=XLOOKUP(</t>
    </r>
    <r>
      <rPr>
        <b/>
        <sz val="11"/>
        <color theme="5"/>
        <rFont val="Calibri"/>
        <family val="2"/>
        <scheme val="minor"/>
      </rPr>
      <t>C102</t>
    </r>
    <r>
      <rPr>
        <b/>
        <sz val="11"/>
        <color theme="1"/>
        <rFont val="Calibri"/>
        <family val="2"/>
        <scheme val="minor"/>
      </rPr>
      <t>,</t>
    </r>
    <r>
      <rPr>
        <b/>
        <sz val="11"/>
        <color rgb="FF7030A0"/>
        <rFont val="Calibri"/>
        <family val="2"/>
        <scheme val="minor"/>
      </rPr>
      <t>$B$94:$B$100</t>
    </r>
    <r>
      <rPr>
        <b/>
        <sz val="11"/>
        <color theme="1"/>
        <rFont val="Calibri"/>
        <family val="2"/>
        <scheme val="minor"/>
      </rPr>
      <t>,</t>
    </r>
    <r>
      <rPr>
        <b/>
        <sz val="11"/>
        <color rgb="FF00B050"/>
        <rFont val="Calibri"/>
        <family val="2"/>
        <scheme val="minor"/>
      </rPr>
      <t>$C$94:$C$100</t>
    </r>
    <r>
      <rPr>
        <b/>
        <sz val="11"/>
        <color theme="1"/>
        <rFont val="Calibri"/>
        <family val="2"/>
        <scheme val="minor"/>
      </rPr>
      <t>,"???",</t>
    </r>
    <r>
      <rPr>
        <b/>
        <sz val="11"/>
        <color rgb="FFFF0000"/>
        <rFont val="Calibri"/>
        <family val="2"/>
        <scheme val="minor"/>
      </rPr>
      <t>0</t>
    </r>
    <r>
      <rPr>
        <b/>
        <sz val="11"/>
        <color theme="1"/>
        <rFont val="Calibri"/>
        <family val="2"/>
        <scheme val="minor"/>
      </rPr>
      <t>)</t>
    </r>
  </si>
  <si>
    <r>
      <t>=INDEX(</t>
    </r>
    <r>
      <rPr>
        <b/>
        <sz val="11"/>
        <color theme="8"/>
        <rFont val="Calibri"/>
        <family val="2"/>
        <scheme val="minor"/>
      </rPr>
      <t>$B$94:$C$100</t>
    </r>
    <r>
      <rPr>
        <b/>
        <sz val="11"/>
        <color theme="1"/>
        <rFont val="Calibri"/>
        <family val="2"/>
        <scheme val="minor"/>
      </rPr>
      <t>,MATCH(</t>
    </r>
    <r>
      <rPr>
        <b/>
        <sz val="11"/>
        <color theme="5"/>
        <rFont val="Calibri"/>
        <family val="2"/>
        <scheme val="minor"/>
      </rPr>
      <t>C102</t>
    </r>
    <r>
      <rPr>
        <b/>
        <sz val="11"/>
        <color theme="1"/>
        <rFont val="Calibri"/>
        <family val="2"/>
        <scheme val="minor"/>
      </rPr>
      <t>,</t>
    </r>
    <r>
      <rPr>
        <b/>
        <sz val="11"/>
        <color rgb="FF7030A0"/>
        <rFont val="Calibri"/>
        <family val="2"/>
        <scheme val="minor"/>
      </rPr>
      <t>$B$94:$B$100</t>
    </r>
    <r>
      <rPr>
        <b/>
        <sz val="11"/>
        <color theme="1"/>
        <rFont val="Calibri"/>
        <family val="2"/>
        <scheme val="minor"/>
      </rPr>
      <t>,</t>
    </r>
    <r>
      <rPr>
        <b/>
        <sz val="11"/>
        <color rgb="FFFF0000"/>
        <rFont val="Calibri"/>
        <family val="2"/>
        <scheme val="minor"/>
      </rPr>
      <t>0</t>
    </r>
    <r>
      <rPr>
        <b/>
        <sz val="11"/>
        <color theme="1"/>
        <rFont val="Calibri"/>
        <family val="2"/>
        <scheme val="minor"/>
      </rPr>
      <t>),</t>
    </r>
    <r>
      <rPr>
        <b/>
        <sz val="11"/>
        <color rgb="FF00B050"/>
        <rFont val="Calibri"/>
        <family val="2"/>
        <scheme val="minor"/>
      </rPr>
      <t>2</t>
    </r>
    <r>
      <rPr>
        <b/>
        <sz val="11"/>
        <color theme="1"/>
        <rFont val="Calibri"/>
        <family val="2"/>
        <scheme val="minor"/>
      </rPr>
      <t>)</t>
    </r>
  </si>
  <si>
    <t>Animal sounds table</t>
  </si>
  <si>
    <t>C102</t>
  </si>
  <si>
    <t>$B$94:$C$100</t>
  </si>
  <si>
    <t>$B$94:$B$100</t>
  </si>
  <si>
    <t>$C$94:$C$100 or 2</t>
  </si>
  <si>
    <t>FALSE or 0</t>
  </si>
  <si>
    <t>VLOOKUP EXERCISE</t>
  </si>
  <si>
    <t>You've been compiling a list of famous people, the city and country they come from, and how the average temperature of that city had an impact on their career.</t>
  </si>
  <si>
    <t>However, you're a busy person! You can't be expected to type up the country  and the temperature each time you put in the name of the city.</t>
  </si>
  <si>
    <t>Table with values to look up</t>
  </si>
  <si>
    <t>Your table with values to find</t>
  </si>
  <si>
    <t>So to speed things up here, use Vlookup to find the appropriate country in column H, and the status/temperature in column I.</t>
  </si>
  <si>
    <t>Look up the country</t>
  </si>
  <si>
    <t>Look up the status</t>
  </si>
  <si>
    <t>Element</t>
  </si>
  <si>
    <t>Vlookup, Xlookup, and Index Match examples</t>
  </si>
  <si>
    <t>Example</t>
  </si>
  <si>
    <t>Depending on your version of Excel, CSE formulas are top secret formulas</t>
  </si>
  <si>
    <t>that you have to do a special key stroke in order to activate.</t>
  </si>
  <si>
    <r>
      <rPr>
        <i/>
        <sz val="11"/>
        <color theme="1"/>
        <rFont val="Calibri"/>
        <family val="2"/>
        <scheme val="minor"/>
      </rPr>
      <t>Or</t>
    </r>
    <r>
      <rPr>
        <sz val="11"/>
        <color theme="1"/>
        <rFont val="Calibri"/>
        <family val="2"/>
        <scheme val="minor"/>
      </rPr>
      <t xml:space="preserve"> they're weird formulas that you create with the normal = method.</t>
    </r>
  </si>
  <si>
    <t>Google "CSE formulas Excel". There's tons of explanations out there!</t>
  </si>
  <si>
    <t>Once you think you understand, go do the hardest exercise yet!</t>
  </si>
  <si>
    <t>Before going further, let's figure out if your version of Excel requires you to use a special key stroke to activate CSE formulas.</t>
  </si>
  <si>
    <t>Look here ----------------&gt;</t>
  </si>
  <si>
    <t xml:space="preserve"> You will notice curly brackes appear in the formula bar. You can't make a CSE formula work correctly by typing in the curly brackets manually.</t>
  </si>
  <si>
    <t>But I recommend just entering formulas using = as normal.</t>
  </si>
  <si>
    <r>
      <t xml:space="preserve">If you see "$36.41", </t>
    </r>
    <r>
      <rPr>
        <sz val="11"/>
        <color theme="1"/>
        <rFont val="Calibri"/>
        <family val="2"/>
        <scheme val="minor"/>
      </rPr>
      <t xml:space="preserve">you can </t>
    </r>
    <r>
      <rPr>
        <b/>
        <sz val="11"/>
        <color theme="1"/>
        <rFont val="Calibri"/>
        <family val="2"/>
        <scheme val="minor"/>
      </rPr>
      <t xml:space="preserve">use the normal = method </t>
    </r>
    <r>
      <rPr>
        <sz val="11"/>
        <color theme="1"/>
        <rFont val="Calibri"/>
        <family val="2"/>
        <scheme val="minor"/>
      </rPr>
      <t>to create CSE formulas. You won't see curly brackets in the formula bar.</t>
    </r>
  </si>
  <si>
    <t>Doing Ctrl-Shift-Enter should also work and will make curly brackets appear in the formula bar. Don't type these brackets in manually.</t>
  </si>
  <si>
    <t>Either way, they are based on arrays, which I'm too scared to explain much.</t>
  </si>
  <si>
    <t>you must type in your formula, then press Ctrl-Shift-Enter to activate your CSE formulas.</t>
  </si>
  <si>
    <r>
      <rPr>
        <b/>
        <sz val="11"/>
        <color theme="1"/>
        <rFont val="Calibri"/>
        <family val="2"/>
        <scheme val="minor"/>
      </rPr>
      <t>In the first example</t>
    </r>
    <r>
      <rPr>
        <sz val="11"/>
        <color theme="1"/>
        <rFont val="Calibri"/>
        <family val="2"/>
        <scheme val="minor"/>
      </rPr>
      <t xml:space="preserve">, we're getting the SUM function to give us the grand total of the sum of quantities multiplied by unit price. </t>
    </r>
  </si>
  <si>
    <t>Because most people are familiar with the SUM formula, I used these for my examples, but among other tricks,</t>
  </si>
  <si>
    <t xml:space="preserve">CSE formulas can be used to add "IF" logic to formulas that don't already have that component. See section 2_5 for more on IF formulas. </t>
  </si>
  <si>
    <r>
      <rPr>
        <b/>
        <sz val="11"/>
        <color theme="1"/>
        <rFont val="Calibri"/>
        <family val="2"/>
        <scheme val="minor"/>
      </rPr>
      <t>In the second example</t>
    </r>
    <r>
      <rPr>
        <sz val="11"/>
        <color theme="1"/>
        <rFont val="Calibri"/>
        <family val="2"/>
        <scheme val="minor"/>
      </rPr>
      <t>, we're getting the number of vehicles that are red cars. Change the criteria</t>
    </r>
    <r>
      <rPr>
        <sz val="11"/>
        <color rgb="FFFF0000"/>
        <rFont val="Calibri"/>
        <family val="2"/>
        <scheme val="minor"/>
      </rPr>
      <t xml:space="preserve"> </t>
    </r>
    <r>
      <rPr>
        <sz val="11"/>
        <color theme="1"/>
        <rFont val="Calibri"/>
        <family val="2"/>
        <scheme val="minor"/>
      </rPr>
      <t>and you should still get the right result.</t>
    </r>
  </si>
  <si>
    <t xml:space="preserve">If you see "$4.00" or if you click on C21 and see curly brackets {} in the formula bar, </t>
  </si>
  <si>
    <t>Simple CSE formula (no multiplying or adding arrays)</t>
  </si>
  <si>
    <r>
      <t xml:space="preserve">In either case, </t>
    </r>
    <r>
      <rPr>
        <sz val="11"/>
        <color theme="1"/>
        <rFont val="Calibri"/>
        <family val="2"/>
        <scheme val="minor"/>
      </rPr>
      <t xml:space="preserve">the "*" symbol </t>
    </r>
    <r>
      <rPr>
        <i/>
        <sz val="11"/>
        <color theme="1"/>
        <rFont val="Calibri"/>
        <family val="2"/>
        <scheme val="minor"/>
      </rPr>
      <t xml:space="preserve">between CSE instances </t>
    </r>
    <r>
      <rPr>
        <sz val="11"/>
        <color theme="1"/>
        <rFont val="Calibri"/>
        <family val="2"/>
        <scheme val="minor"/>
      </rPr>
      <t>tends to work as an "AND".</t>
    </r>
  </si>
  <si>
    <r>
      <t xml:space="preserve"> The "+" symbol </t>
    </r>
    <r>
      <rPr>
        <i/>
        <sz val="11"/>
        <color theme="1"/>
        <rFont val="Calibri"/>
        <family val="2"/>
        <scheme val="minor"/>
      </rPr>
      <t>between CSE instances</t>
    </r>
    <r>
      <rPr>
        <sz val="11"/>
        <color theme="1"/>
        <rFont val="Calibri"/>
        <family val="2"/>
        <scheme val="minor"/>
      </rPr>
      <t xml:space="preserve"> tends to work as an "OR" but you must be ready to throw down some "If" in your formula.</t>
    </r>
  </si>
  <si>
    <t>Grocerly list with quantities and unit prices</t>
  </si>
  <si>
    <t>Formula version</t>
  </si>
  <si>
    <t>Entered normally</t>
  </si>
  <si>
    <t>Ctrl-Shift-Enter</t>
  </si>
  <si>
    <t>=SUM($C$44:$C$47*$D$44:$D$47)</t>
  </si>
  <si>
    <t>{=SUM($C$44:$C$47*$D$44:$D$47)}</t>
  </si>
  <si>
    <t>Complex CSE formula (multiplying arrays)</t>
  </si>
  <si>
    <t>Vehicle list with color, vehicle, and total count</t>
  </si>
  <si>
    <t>Color to add</t>
  </si>
  <si>
    <t>Vehicle to add</t>
  </si>
  <si>
    <t>CSE formulas</t>
  </si>
  <si>
    <t>=SUM(($B$58:$B$63=F58)*($C$58:$C$63=F61)*($D$58:$D$63))</t>
  </si>
  <si>
    <t>{=SUM(($B$58:$B$63=F58)*($C$58:$C$63=F61)*($D$58:$D$63))}</t>
  </si>
  <si>
    <t>Complex CSE formula (adding arrays)</t>
  </si>
  <si>
    <t>Other color to add</t>
  </si>
  <si>
    <t>Red car [normal]</t>
  </si>
  <si>
    <t>Red car [CSE]</t>
  </si>
  <si>
    <t>Red or yellow [normal]</t>
  </si>
  <si>
    <t>Red or yellow [CSE]</t>
  </si>
  <si>
    <t>In more recent versions of excel, we could have used =sumIFs to find red cars, but not red or yellow vehicles.</t>
  </si>
  <si>
    <t>CSE FORMULA EXERCISE</t>
  </si>
  <si>
    <t xml:space="preserve">There's no "PercentileIf" function in Excel. Let's create our own in column G! </t>
  </si>
  <si>
    <t xml:space="preserve">This is a REALLY hard exercise, so hopefully you'll be able to do it. </t>
  </si>
  <si>
    <t>You DO need to use "If" in order to get it to work, so you might want to read Excel's help about the If function or look at section 2_5.</t>
  </si>
  <si>
    <t xml:space="preserve"> If you put k = 0, it will give you the lowest value found. If you put k = 1, it will give you the biggest value found.</t>
  </si>
  <si>
    <t>Table of precipitation by city by date</t>
  </si>
  <si>
    <t>Find the percentile for a city of your choice</t>
  </si>
  <si>
    <t>Date</t>
  </si>
  <si>
    <t>The Percentile.Inc function takes two arguments, it wants to know where the data is, and then it wants "k" which is a number between 0 and 1.</t>
  </si>
  <si>
    <t>CSE Percentile Formula</t>
  </si>
  <si>
    <t>Centile K</t>
  </si>
  <si>
    <t>Adapt the Percentile function so that it will give you the result for the city of your choice.</t>
  </si>
  <si>
    <t>=PERCENTILE.INC(IF($C$18:$C$42=F18,$D$18:$D$42),G18)</t>
  </si>
  <si>
    <t>Remember that if you don't have the latest version of Excel, you will need to use Control-Shift-Enter to activate the formula.</t>
  </si>
  <si>
    <r>
      <t xml:space="preserve"> The city is in F19 and the centile/k is in </t>
    </r>
    <r>
      <rPr>
        <sz val="11"/>
        <rFont val="Calibri"/>
        <family val="2"/>
        <scheme val="minor"/>
      </rPr>
      <t>G19</t>
    </r>
    <r>
      <rPr>
        <sz val="11"/>
        <color theme="1"/>
        <rFont val="Calibri"/>
        <family val="2"/>
        <scheme val="minor"/>
      </rPr>
      <t>. Test by checking the lowest (0) and highest values (1) for each city.</t>
    </r>
  </si>
  <si>
    <t>If you can't do it, I've hidden the answer in cell H43. But first, try a simple version of the percentile function and then add complexity!</t>
  </si>
  <si>
    <t>You're going to love this. It's simple and easy to do.</t>
  </si>
  <si>
    <t>We're simply going to select cells according to certain criteria,</t>
  </si>
  <si>
    <t xml:space="preserve">by using Excel's very own menus! </t>
  </si>
  <si>
    <t xml:space="preserve">The most useful applications I've found is getting to formulas quickly </t>
  </si>
  <si>
    <t xml:space="preserve"> and finding empty cells.</t>
  </si>
  <si>
    <t xml:space="preserve"> (yes, I know about displaying formulas instead of results in the formula menu),</t>
  </si>
  <si>
    <t xml:space="preserve">There are other ways of doing the same thing. </t>
  </si>
  <si>
    <t>You can do cool stuff with macros of course,</t>
  </si>
  <si>
    <t>and also by being really good at using find/replace…</t>
  </si>
  <si>
    <t>Hit "Find blanks" to see a demonstration of what selecting with criteria can do!</t>
  </si>
  <si>
    <t xml:space="preserve">Either select a range of cells in which to search, or just don't do anything special to search the entire worksheet. </t>
  </si>
  <si>
    <t>When you're finished, just click anywhere on the worksheet to un-select the cells. See? I wasn't kidding, this is really easy!</t>
  </si>
  <si>
    <t xml:space="preserve">When cells are all selected like that, you can also apply some formatting to all cells at once if you'd like to do so. </t>
  </si>
  <si>
    <t>Selecting blank cells example - Draw a happy face :)</t>
  </si>
  <si>
    <t>You will be able to select cells according to a specific criteria. Select a criteria and click on "Ok".</t>
  </si>
  <si>
    <t xml:space="preserve">Use "Enter" to quickly go from one cell to another. </t>
  </si>
  <si>
    <t xml:space="preserve">Go to "Find &amp; Select" in the "Editing" section of the "Home" ribbon and click on "Go To Special". Alternatively, press F5. Click on "Special".  </t>
  </si>
  <si>
    <t>In my example, we're selecting all empty cells in range E38 to G43, and then formatting them a bit differently to reveal the hidden smiley face!</t>
  </si>
  <si>
    <t xml:space="preserve">Click on "Blanks" and then "Ok". Use the fill tool in the font section of the home ribbon </t>
  </si>
  <si>
    <t>to apply a background color.</t>
  </si>
  <si>
    <t>If you need a reset, copy-paste from the bottom of this worksheet.</t>
  </si>
  <si>
    <t>Once you think you understand, go do the most fun exercise!</t>
  </si>
  <si>
    <t>Select cells E50 to I55. Copy.</t>
  </si>
  <si>
    <t>Click on cell E41. Paste.</t>
  </si>
  <si>
    <t>SELECT WITH CRITERIA EXERCISE</t>
  </si>
  <si>
    <t>Formulas pop out. You want the hidden message to be revealed even when the cells are no longer selected.</t>
  </si>
  <si>
    <t>Find all the cells with formulas in rows 8 to 14. Practice navigating from one formula to another, and then apply formatting to make the cells with</t>
  </si>
  <si>
    <t>You're getting kind of tired, aren't you?</t>
  </si>
  <si>
    <t>Let's keep it very simple for now. We're… mostly going to look at</t>
  </si>
  <si>
    <r>
      <t xml:space="preserve"> some Find/Replace options. You can </t>
    </r>
    <r>
      <rPr>
        <b/>
        <sz val="11"/>
        <color theme="1"/>
        <rFont val="Calibri"/>
        <family val="2"/>
        <scheme val="minor"/>
      </rPr>
      <t xml:space="preserve">find </t>
    </r>
    <r>
      <rPr>
        <sz val="11"/>
        <color theme="1"/>
        <rFont val="Calibri"/>
        <family val="2"/>
        <scheme val="minor"/>
      </rPr>
      <t xml:space="preserve">text… and </t>
    </r>
    <r>
      <rPr>
        <b/>
        <sz val="11"/>
        <color theme="1"/>
        <rFont val="Calibri"/>
        <family val="2"/>
        <scheme val="minor"/>
      </rPr>
      <t xml:space="preserve">replace </t>
    </r>
    <r>
      <rPr>
        <sz val="11"/>
        <color theme="1"/>
        <rFont val="Calibri"/>
        <family val="2"/>
        <scheme val="minor"/>
      </rPr>
      <t>it with other text.</t>
    </r>
  </si>
  <si>
    <t xml:space="preserve">Try out the options that  I haven't covered. </t>
  </si>
  <si>
    <t>Google "find replace in Excel" to find a few tricks. And "Excel wildcards".</t>
  </si>
  <si>
    <t>Just read the instructions, then go do the exercise.</t>
  </si>
  <si>
    <t>I think that you can go straight to the exercise!</t>
  </si>
  <si>
    <t xml:space="preserve">Alternatively, you can click on "Find and select" in the "Edition" section of the "Home" ribbon, and then select "Replace". </t>
  </si>
  <si>
    <t>Or with a Mac, look at your special editing menu above Excel.</t>
  </si>
  <si>
    <t>You can do find/replace for an entire worksheet, for an entire Excel file or only in a specified range of cells.</t>
  </si>
  <si>
    <t xml:space="preserve">Put in what you want to find in the first text box, and put in what you want to replace it with in the second text box. </t>
  </si>
  <si>
    <t xml:space="preserve">You can access find/replace by using the Ctrl-F or Command-F shortcut key, and then clicking on the "replace" tab. </t>
  </si>
  <si>
    <t>Click on options... to get more options.</t>
  </si>
  <si>
    <t xml:space="preserve"> An interesting but tricky tip is using find/replace to quickly highlight cells that have specific text. </t>
  </si>
  <si>
    <t>Just click on the "format" button in the "replace by" section, don't input anything in the "replace by" box, and you're free to format the cells</t>
  </si>
  <si>
    <t>containing the text you're searching for in any way you'd like!</t>
  </si>
  <si>
    <t>To stop the behavior, click on the "Format" dropdown and select "Clear Replace Format".</t>
  </si>
  <si>
    <t>You can often clean up data by searching with exact match for cells containing only a space and replacing that with nothing at all.</t>
  </si>
  <si>
    <t>(Although there are also formulas that serve a similar function.)</t>
  </si>
  <si>
    <t>You can use * as a wildcard, or ? as a wildcard that only finds one character.</t>
  </si>
  <si>
    <t>Use the tilde ~ to search for the symbols * or ? somewhere in your cells.</t>
  </si>
  <si>
    <t>FIND/REPLACE TRICKS EXERCISE</t>
  </si>
  <si>
    <t>List to use to practice find/replace tricks</t>
  </si>
  <si>
    <t>I'm helping people with Excel :)</t>
  </si>
  <si>
    <t>I don't like ants :(</t>
  </si>
  <si>
    <t>Smiley faces scare me :(</t>
  </si>
  <si>
    <t>I'm having fun today :)</t>
  </si>
  <si>
    <t>I'm not feeling excellent :(</t>
  </si>
  <si>
    <t>It's cold :(</t>
  </si>
  <si>
    <t>1 - Using the color of your choice, quickly highlight all cells that have a smiley face. That should be a total of 14 cells.</t>
  </si>
  <si>
    <t>2 - Count the number of cells in this worksheet that contain the word face. The answer should be 3 (or 5 if you count instances in this section)</t>
  </si>
  <si>
    <t>3 - Count the number of cells that contain the letter "e". The answer should be 11 if you only looked at the below text, 17 if you looked at the entire worksheet.</t>
  </si>
  <si>
    <r>
      <rPr>
        <b/>
        <sz val="11"/>
        <color theme="1"/>
        <rFont val="Calibri"/>
        <family val="2"/>
        <scheme val="minor"/>
      </rPr>
      <t xml:space="preserve"> OR</t>
    </r>
    <r>
      <rPr>
        <sz val="11"/>
        <color theme="1"/>
        <rFont val="Calibri"/>
        <family val="2"/>
        <scheme val="minor"/>
      </rPr>
      <t xml:space="preserve"> which checks if at least one criteria is true.</t>
    </r>
  </si>
  <si>
    <r>
      <rPr>
        <b/>
        <sz val="11"/>
        <color theme="1"/>
        <rFont val="Calibri"/>
        <family val="2"/>
        <scheme val="minor"/>
      </rPr>
      <t>AND</t>
    </r>
    <r>
      <rPr>
        <sz val="11"/>
        <color theme="1"/>
        <rFont val="Calibri"/>
        <family val="2"/>
        <scheme val="minor"/>
      </rPr>
      <t xml:space="preserve"> which checks if one or more criteria are all true.</t>
    </r>
  </si>
  <si>
    <t>We're looking at some logic formulas.</t>
  </si>
  <si>
    <t>I don't know? Maybe look up boolean operators?</t>
  </si>
  <si>
    <t>A lot of what we do here is boolean logic.</t>
  </si>
  <si>
    <t>And definitely look up TRIM, and UPPER and LOWER.</t>
  </si>
  <si>
    <t>Once you think you understand, go do the  exercise!</t>
  </si>
  <si>
    <t xml:space="preserve">The next two arguments are optional but I recommend always entering them. They let you decide what is returned by the IF formula. </t>
  </si>
  <si>
    <t>A value if the criteria is true, or a value if the criteria is false.</t>
  </si>
  <si>
    <r>
      <t xml:space="preserve">The </t>
    </r>
    <r>
      <rPr>
        <b/>
        <sz val="11"/>
        <color theme="1"/>
        <rFont val="Calibri"/>
        <family val="2"/>
        <scheme val="minor"/>
      </rPr>
      <t>IF</t>
    </r>
    <r>
      <rPr>
        <sz val="11"/>
        <color theme="1"/>
        <rFont val="Calibri"/>
        <family val="2"/>
        <scheme val="minor"/>
      </rPr>
      <t xml:space="preserve"> formula takes a criteria, usually in the form of a comparison such as if a cell is equal, or bigger, or smaller than a given value.</t>
    </r>
  </si>
  <si>
    <r>
      <t xml:space="preserve">The </t>
    </r>
    <r>
      <rPr>
        <b/>
        <sz val="11"/>
        <color theme="1"/>
        <rFont val="Calibri"/>
        <family val="2"/>
        <scheme val="minor"/>
      </rPr>
      <t>AND</t>
    </r>
    <r>
      <rPr>
        <sz val="11"/>
        <color theme="1"/>
        <rFont val="Calibri"/>
        <family val="2"/>
        <scheme val="minor"/>
      </rPr>
      <t xml:space="preserve"> and </t>
    </r>
    <r>
      <rPr>
        <b/>
        <sz val="11"/>
        <color theme="1"/>
        <rFont val="Calibri"/>
        <family val="2"/>
        <scheme val="minor"/>
      </rPr>
      <t>OR</t>
    </r>
    <r>
      <rPr>
        <sz val="11"/>
        <color theme="1"/>
        <rFont val="Calibri"/>
        <family val="2"/>
        <scheme val="minor"/>
      </rPr>
      <t xml:space="preserve"> formulas return "True" or "False". </t>
    </r>
  </si>
  <si>
    <r>
      <t xml:space="preserve">The </t>
    </r>
    <r>
      <rPr>
        <b/>
        <sz val="11"/>
        <color theme="1"/>
        <rFont val="Calibri"/>
        <family val="2"/>
        <scheme val="minor"/>
      </rPr>
      <t xml:space="preserve">AND </t>
    </r>
    <r>
      <rPr>
        <sz val="11"/>
        <color theme="1"/>
        <rFont val="Calibri"/>
        <family val="2"/>
        <scheme val="minor"/>
      </rPr>
      <t xml:space="preserve">formula requires that ALL criteria be met in order for the formula to return "TRUE". </t>
    </r>
  </si>
  <si>
    <r>
      <t xml:space="preserve">The </t>
    </r>
    <r>
      <rPr>
        <b/>
        <sz val="11"/>
        <color theme="1"/>
        <rFont val="Calibri"/>
        <family val="2"/>
        <scheme val="minor"/>
      </rPr>
      <t>OR</t>
    </r>
    <r>
      <rPr>
        <sz val="11"/>
        <color theme="1"/>
        <rFont val="Calibri"/>
        <family val="2"/>
        <scheme val="minor"/>
      </rPr>
      <t xml:space="preserve"> formula requires that at least one of the criteria be met in order for the formula to return "TRUE".</t>
    </r>
  </si>
  <si>
    <t>You can have the IF formula return a blank by entering "" as the value if true or false,</t>
  </si>
  <si>
    <t>and a number like 0 or 1 by simply putting in the number without quotation marks.</t>
  </si>
  <si>
    <t xml:space="preserve"> And you can use an AND or OR formula within an IF formula.</t>
  </si>
  <si>
    <t>Scariness table and criteria</t>
  </si>
  <si>
    <t>Formulas</t>
  </si>
  <si>
    <t>Simple IF example</t>
  </si>
  <si>
    <t>AND example</t>
  </si>
  <si>
    <t>Simple IF formula</t>
  </si>
  <si>
    <t>Simple IF formula with a cell address for the criteria</t>
  </si>
  <si>
    <t>AND formula - True means we are worried</t>
  </si>
  <si>
    <t>OR example</t>
  </si>
  <si>
    <t>OR formula - True means we are worried</t>
  </si>
  <si>
    <t>IF and AND example</t>
  </si>
  <si>
    <t>IF and AND formula</t>
  </si>
  <si>
    <t xml:space="preserve">You are worried about the various threats that surround you at all times. </t>
  </si>
  <si>
    <t>IF, AND, and OR EXERCISE</t>
  </si>
  <si>
    <t xml:space="preserve">Use a combination of the IF and AND formulas to flag cases with "BE VERY WORRIED" in column H (Big Worry) </t>
  </si>
  <si>
    <t>where the scariness is at least 5, the amount of a thing is at least 1, and the distance is 10 or lower.</t>
  </si>
  <si>
    <t>Then, flag cases with "Maybe worry" in column I (Small Worry) where the scariness is at least 8,</t>
  </si>
  <si>
    <t>or where the amount is higher or equal to 50, or the distance is 10 or lower.</t>
  </si>
  <si>
    <t>Big worry</t>
  </si>
  <si>
    <t>Small worry</t>
  </si>
  <si>
    <t>Scariness of at least</t>
  </si>
  <si>
    <t>Amount of at least</t>
  </si>
  <si>
    <t>Distance of no more than</t>
  </si>
  <si>
    <t>and</t>
  </si>
  <si>
    <t>or</t>
  </si>
  <si>
    <t>Table of threats</t>
  </si>
  <si>
    <t>Tables of worries by criteria</t>
  </si>
  <si>
    <t xml:space="preserve">We're going to take a look at CountA. </t>
  </si>
  <si>
    <t>It counts the number of non-blank value. So easy! No need to even practice!</t>
  </si>
  <si>
    <t>Google countA, I guess? Or look at the different kinds of counts.</t>
  </si>
  <si>
    <t>CountA example</t>
  </si>
  <si>
    <t>=COUNTA(B20:B24)</t>
  </si>
  <si>
    <t>=COUNTA(C20:C24)</t>
  </si>
  <si>
    <t>=COUNTA(D20:D24)</t>
  </si>
  <si>
    <t xml:space="preserve"> </t>
  </si>
  <si>
    <t>Spaces</t>
  </si>
  <si>
    <t>If CountA is returning a number higher than you were expecting, it could be that one of the cells contains a space instead of a blank.</t>
  </si>
  <si>
    <t>There is</t>
  </si>
  <si>
    <t>so it's counting</t>
  </si>
  <si>
    <t>5 non-blank rows</t>
  </si>
  <si>
    <t>a space in B37</t>
  </si>
  <si>
    <t>=COUNTA(B36:B40)</t>
  </si>
  <si>
    <t>=SUM((($B$74:$B$79=F$74)+($B$74:$B$79=F$77))*($D$74:$D$79))</t>
  </si>
  <si>
    <t>{=SUM((($B$74:$B$79=F$74)+($B$74:$B$79=F$77))*($D$74:$D$79))}</t>
  </si>
  <si>
    <t>NS 1-6</t>
  </si>
  <si>
    <t>NS 1-9</t>
  </si>
  <si>
    <t>=RIGHT(B25,1)</t>
  </si>
  <si>
    <t>=B25&amp;B26&amp;B27&amp;B28&amp;B29</t>
  </si>
  <si>
    <t>Let's concatenate the content of cells B25 to B29</t>
  </si>
  <si>
    <t>Let's insert some text and spaces to the content of cells B32 and B33</t>
  </si>
  <si>
    <t>="Text inserted. "&amp;B32&amp;" "&amp;B33</t>
  </si>
  <si>
    <t>Let's insert "Wow!" and the contents of B36 and B37</t>
  </si>
  <si>
    <t>="""Wow!"" "&amp;B36&amp;B37</t>
  </si>
  <si>
    <t>Let's insert C37 and the contents of B41</t>
  </si>
  <si>
    <t>=B41&amp;" "&amp;C37</t>
  </si>
  <si>
    <t>=TEXTJOIN(" ",TRUE,B46:B47)</t>
  </si>
  <si>
    <t>=CONCAT(B53:B54)</t>
  </si>
  <si>
    <t>Select cells E41 to I46. Go to Home - Editing section - Find &amp; Select - Go to Special.</t>
  </si>
  <si>
    <t>Reset example           
(scroll down)</t>
  </si>
  <si>
    <t>First Example                       
(2 columns)</t>
  </si>
  <si>
    <t>Second example                 
(1 column)</t>
  </si>
  <si>
    <t>This file is shared under CC BY-NC 4.0</t>
  </si>
  <si>
    <t>As of 2026 you can reach me:</t>
  </si>
  <si>
    <t>Concatenation</t>
  </si>
  <si>
    <t>Remove duplicates</t>
  </si>
  <si>
    <t>Paste as values</t>
  </si>
  <si>
    <t>C1 CONCATENATION</t>
  </si>
  <si>
    <t xml:space="preserve">    C1    </t>
  </si>
  <si>
    <t>SECTION A - Let's start with easy tricks that only require clicking around</t>
  </si>
  <si>
    <t>SECTION B - Let's have fun with some formulas!</t>
  </si>
  <si>
    <t>SECTION C - It's… too much! Have a look at some leftover features and formulas!</t>
  </si>
  <si>
    <t>A1 PASTE AS VALUES</t>
  </si>
  <si>
    <t xml:space="preserve">    A1    </t>
  </si>
  <si>
    <t>Some problems are too complex for Flash Fill, in which case you'll need to consider alternatives.</t>
  </si>
  <si>
    <r>
      <t xml:space="preserve">If using the Ctrl-E method, you can fill in the pattern at one of the easiest to fill in spots in your column. When you do Ctrl E, the column should fill down </t>
    </r>
    <r>
      <rPr>
        <i/>
        <sz val="11"/>
        <color theme="1"/>
        <rFont val="Calibri"/>
        <family val="2"/>
        <scheme val="minor"/>
      </rPr>
      <t xml:space="preserve">and </t>
    </r>
    <r>
      <rPr>
        <sz val="11"/>
        <color theme="1"/>
        <rFont val="Calibri"/>
        <family val="2"/>
        <scheme val="minor"/>
      </rPr>
      <t>up.</t>
    </r>
  </si>
  <si>
    <t>Flash fill is not dynamic. If you change content in your original column, your new column won't update itself. Use formulas instead of flash fill, or reapply flash fill.</t>
  </si>
  <si>
    <t xml:space="preserve">           Top           </t>
  </si>
  <si>
    <t>Important Flash Fill notes</t>
  </si>
  <si>
    <r>
      <t xml:space="preserve">There must be some sort of </t>
    </r>
    <r>
      <rPr>
        <i/>
        <sz val="11"/>
        <color theme="1"/>
        <rFont val="Calibri"/>
        <family val="2"/>
        <scheme val="minor"/>
      </rPr>
      <t xml:space="preserve">pattern </t>
    </r>
    <r>
      <rPr>
        <sz val="11"/>
        <color theme="1"/>
        <rFont val="Calibri"/>
        <family val="2"/>
        <scheme val="minor"/>
      </rPr>
      <t>to your data</t>
    </r>
    <r>
      <rPr>
        <i/>
        <sz val="11"/>
        <color theme="1"/>
        <rFont val="Calibri"/>
        <family val="2"/>
        <scheme val="minor"/>
      </rPr>
      <t xml:space="preserve">, </t>
    </r>
    <r>
      <rPr>
        <sz val="11"/>
        <color theme="1"/>
        <rFont val="Calibri"/>
        <family val="2"/>
        <scheme val="minor"/>
      </rPr>
      <t>a rule that can be used to extract/input the data that is logical and consistent.</t>
    </r>
  </si>
  <si>
    <r>
      <t xml:space="preserve">Avoid having </t>
    </r>
    <r>
      <rPr>
        <i/>
        <sz val="11"/>
        <color theme="1"/>
        <rFont val="Calibri"/>
        <family val="2"/>
        <scheme val="minor"/>
      </rPr>
      <t>completely</t>
    </r>
    <r>
      <rPr>
        <sz val="11"/>
        <color theme="1"/>
        <rFont val="Calibri"/>
        <family val="2"/>
        <scheme val="minor"/>
      </rPr>
      <t xml:space="preserve"> blank rows. Flash fill should still work if there are </t>
    </r>
    <r>
      <rPr>
        <i/>
        <sz val="11"/>
        <color theme="1"/>
        <rFont val="Calibri"/>
        <family val="2"/>
        <scheme val="minor"/>
      </rPr>
      <t>some</t>
    </r>
    <r>
      <rPr>
        <sz val="11"/>
        <color theme="1"/>
        <rFont val="Calibri"/>
        <family val="2"/>
        <scheme val="minor"/>
      </rPr>
      <t xml:space="preserve"> blank cells</t>
    </r>
    <r>
      <rPr>
        <i/>
        <sz val="11"/>
        <color theme="1"/>
        <rFont val="Calibri"/>
        <family val="2"/>
        <scheme val="minor"/>
      </rPr>
      <t xml:space="preserve"> </t>
    </r>
    <r>
      <rPr>
        <sz val="11"/>
        <color theme="1"/>
        <rFont val="Calibri"/>
        <family val="2"/>
        <scheme val="minor"/>
      </rPr>
      <t xml:space="preserve">in a column as long as other cells in the same row have content and </t>
    </r>
    <r>
      <rPr>
        <b/>
        <sz val="11"/>
        <color theme="1"/>
        <rFont val="Calibri"/>
        <family val="2"/>
        <scheme val="minor"/>
      </rPr>
      <t>no blank needs to go in the column you want to flash fill.</t>
    </r>
  </si>
  <si>
    <t>Your data needs to be organized in a table-like structure, preferably with headers/titles for your columns.</t>
  </si>
  <si>
    <t>Flash fill will fill cells down and/or up a column, not across rows</t>
  </si>
  <si>
    <t>Flash fill only works in Excel 2016+.</t>
  </si>
  <si>
    <t>What needs to be in place for Flash Fill to work</t>
  </si>
  <si>
    <r>
      <t xml:space="preserve">If Flash Fill has incorrectly guessed the pattern, or if you have a complex pattern, try manually overwriting incorrect rows with the correct value in a cell or two </t>
    </r>
    <r>
      <rPr>
        <i/>
        <sz val="11"/>
        <color theme="1"/>
        <rFont val="Calibri"/>
        <family val="2"/>
        <scheme val="minor"/>
      </rPr>
      <t>before working on something else</t>
    </r>
    <r>
      <rPr>
        <sz val="11"/>
        <color theme="1"/>
        <rFont val="Calibri"/>
        <family val="2"/>
        <scheme val="minor"/>
      </rPr>
      <t>. Flash fill should magically adjust the rest of the column.</t>
    </r>
  </si>
  <si>
    <t>After a few columns, Excel might guess what you're doing and just automatically flash fill the column for you!</t>
  </si>
  <si>
    <t>Both methods</t>
  </si>
  <si>
    <t>Press Ctrl-E on the keyboard (possibly Command-E on the Mac).</t>
  </si>
  <si>
    <t>Select the last row in your "blank" column that has content.</t>
  </si>
  <si>
    <t>Method 2</t>
  </si>
  <si>
    <t>Select "Flash Fill" [4]</t>
  </si>
  <si>
    <t>Click on the "Auto Fill Options" icon that temporarily appears. [3]</t>
  </si>
  <si>
    <t>Double-click on the bottom-right of the selection. [2]</t>
  </si>
  <si>
    <t>Select both rows with content in your "blank" column. [1]</t>
  </si>
  <si>
    <t>Method 1</t>
  </si>
  <si>
    <t>Manually enter the part of the pattern that you what you want to extract / input. Repeat with the next row. [3]</t>
  </si>
  <si>
    <t>Move to the first (top) blank cell in your new blank column. [3]</t>
  </si>
  <si>
    <t>Navigate to the first available blank column next to your data or insert a new blank column. Give your column an exciting title. [2]</t>
  </si>
  <si>
    <r>
      <t xml:space="preserve">Identify a column from which you need to extract data in a pattern, </t>
    </r>
    <r>
      <rPr>
        <i/>
        <sz val="11"/>
        <color theme="1"/>
        <rFont val="Calibri"/>
        <family val="2"/>
        <scheme val="minor"/>
      </rPr>
      <t xml:space="preserve">or </t>
    </r>
    <r>
      <rPr>
        <sz val="11"/>
        <color theme="1"/>
        <rFont val="Calibri"/>
        <family val="2"/>
        <scheme val="minor"/>
      </rPr>
      <t>columns with data that you want to concatenate. [1]</t>
    </r>
  </si>
  <si>
    <t>Review here!</t>
  </si>
  <si>
    <t>Review the conditions that need to be in place for Flash Fill to work.</t>
  </si>
  <si>
    <t>How to get Flash Fill to work</t>
  </si>
  <si>
    <r>
      <rPr>
        <b/>
        <i/>
        <sz val="11"/>
        <rFont val="Calibri"/>
        <family val="2"/>
        <scheme val="minor"/>
      </rPr>
      <t>Scroll down</t>
    </r>
    <r>
      <rPr>
        <i/>
        <sz val="11"/>
        <rFont val="Calibri"/>
        <family val="2"/>
        <scheme val="minor"/>
      </rPr>
      <t xml:space="preserve"> after selecting item in menu - desired instructions are at the bottom of the screen</t>
    </r>
  </si>
  <si>
    <t>Page Menu</t>
  </si>
  <si>
    <t xml:space="preserve">    Exercises    </t>
  </si>
  <si>
    <t xml:space="preserve">       Main Menu       </t>
  </si>
  <si>
    <t>Apr</t>
  </si>
  <si>
    <t>Nunavut founded</t>
  </si>
  <si>
    <t>Mar</t>
  </si>
  <si>
    <t>First female premier</t>
  </si>
  <si>
    <t>Oct</t>
  </si>
  <si>
    <t>First Canadian in space</t>
  </si>
  <si>
    <t>Newfoundland joins Canada</t>
  </si>
  <si>
    <t>Dec</t>
  </si>
  <si>
    <t>Canada gets full independence</t>
  </si>
  <si>
    <t>Great depression</t>
  </si>
  <si>
    <t>May</t>
  </si>
  <si>
    <t>Women get right to vote</t>
  </si>
  <si>
    <t>Jun</t>
  </si>
  <si>
    <t>First women elected</t>
  </si>
  <si>
    <t>Sep</t>
  </si>
  <si>
    <t>Alberta and Saskatchewan created</t>
  </si>
  <si>
    <t>Magical Text Formula</t>
  </si>
  <si>
    <t>Month</t>
  </si>
  <si>
    <t>Historical Event</t>
  </si>
  <si>
    <t>Exercise table</t>
  </si>
  <si>
    <t>Example result</t>
  </si>
  <si>
    <t>Dates taken from https://thecanadaguide.com/data/important-dates/</t>
  </si>
  <si>
    <t>You'll notice this isn't quite as efficient as using the TEXT formula…</t>
  </si>
  <si>
    <t>Use Flash Fill to extract the month abbreviations from this list of dates.</t>
  </si>
  <si>
    <t>Exercise 5: Time travel with months</t>
  </si>
  <si>
    <t>225-5887</t>
  </si>
  <si>
    <t>916-225-5887</t>
  </si>
  <si>
    <t>(916) 225-5887</t>
  </si>
  <si>
    <t>776-2323</t>
  </si>
  <si>
    <t>902-776-2323</t>
  </si>
  <si>
    <t>(902) 776-2323</t>
  </si>
  <si>
    <t>555-2368</t>
  </si>
  <si>
    <t>902-555-2368</t>
  </si>
  <si>
    <t>(902) 555-2368</t>
  </si>
  <si>
    <t>555-0123</t>
  </si>
  <si>
    <t>902-555-0123</t>
  </si>
  <si>
    <t>(902) 555-0123</t>
  </si>
  <si>
    <t>555-0113</t>
  </si>
  <si>
    <t>902-555-0113</t>
  </si>
  <si>
    <t>(902) 555-0113</t>
  </si>
  <si>
    <t>634-5789</t>
  </si>
  <si>
    <t>613-634-5789</t>
  </si>
  <si>
    <t>(613) 634-5789</t>
  </si>
  <si>
    <t>613-555-2368</t>
  </si>
  <si>
    <t>(613) 555-2368</t>
  </si>
  <si>
    <t>555-0179</t>
  </si>
  <si>
    <t>613-555-0179</t>
  </si>
  <si>
    <t>(613) 555-0179</t>
  </si>
  <si>
    <t>555-0001</t>
  </si>
  <si>
    <t>613-555-0001</t>
  </si>
  <si>
    <t>(613) 555-0001</t>
  </si>
  <si>
    <t>234-0234</t>
  </si>
  <si>
    <t>516-234-0234</t>
  </si>
  <si>
    <t>(516) 234-0234</t>
  </si>
  <si>
    <t>777-9311</t>
  </si>
  <si>
    <t>347-777-9311</t>
  </si>
  <si>
    <t>(347) 777-9311</t>
  </si>
  <si>
    <t>Area code removed</t>
  </si>
  <si>
    <t>Reformatted</t>
  </si>
  <si>
    <t>Phone numbers</t>
  </si>
  <si>
    <t>Phone number</t>
  </si>
  <si>
    <t>Use Flash Fill to reformat the phone numbers (in a ###-###-#### style), and to strip the area code.</t>
  </si>
  <si>
    <t>Exercise 4: Don't call these numbers!</t>
  </si>
  <si>
    <t>Halifax Standfield Airport (YHZ)</t>
  </si>
  <si>
    <t>YHZ</t>
  </si>
  <si>
    <t>Halifax Standfield</t>
  </si>
  <si>
    <t>Charles de Gaulle Airport (CDG)</t>
  </si>
  <si>
    <t>CDG</t>
  </si>
  <si>
    <t>Charles de Gaulle</t>
  </si>
  <si>
    <t>Indira Gandhi Airport (DEL)</t>
  </si>
  <si>
    <t>DEL</t>
  </si>
  <si>
    <t>Indira Gandhi</t>
  </si>
  <si>
    <t>Heathrow Airport (LHR)</t>
  </si>
  <si>
    <t>LHR</t>
  </si>
  <si>
    <t>Heathrow</t>
  </si>
  <si>
    <t>Istanbul Airport (IST)</t>
  </si>
  <si>
    <t>IST</t>
  </si>
  <si>
    <t>Istanbul</t>
  </si>
  <si>
    <t>Los Angeles Airport (LAX)</t>
  </si>
  <si>
    <t>LAX</t>
  </si>
  <si>
    <t>Los Angeles</t>
  </si>
  <si>
    <t>Dubai Airport (DXB)</t>
  </si>
  <si>
    <t>DXB</t>
  </si>
  <si>
    <t>Dubai</t>
  </si>
  <si>
    <t>O'Hare Airport (ORD)</t>
  </si>
  <si>
    <t>ORD</t>
  </si>
  <si>
    <t>O'Hare</t>
  </si>
  <si>
    <t>Denver Airport (DEN)</t>
  </si>
  <si>
    <t>DEN</t>
  </si>
  <si>
    <t>Denver</t>
  </si>
  <si>
    <t>Dallas Forth Worth Airport (DFW)</t>
  </si>
  <si>
    <t>DFW</t>
  </si>
  <si>
    <t>Dallas Forth Worth</t>
  </si>
  <si>
    <t>Hartsfield-Jackson Atlanta Airport (ATL)</t>
  </si>
  <si>
    <t>ATL</t>
  </si>
  <si>
    <t>Hartsfield-Jackson Atlanta</t>
  </si>
  <si>
    <t>Last Name - Adjective</t>
  </si>
  <si>
    <t>Airport Names + Airport + (IATA)</t>
  </si>
  <si>
    <t>IATIA Codes</t>
  </si>
  <si>
    <t>Airport Names</t>
  </si>
  <si>
    <r>
      <rPr>
        <b/>
        <sz val="11"/>
        <color rgb="FF0070C0"/>
        <rFont val="Calibri"/>
        <family val="2"/>
        <scheme val="minor"/>
      </rPr>
      <t>Dallas Fort Worth</t>
    </r>
    <r>
      <rPr>
        <b/>
        <sz val="11"/>
        <color theme="1"/>
        <rFont val="Calibri"/>
        <family val="2"/>
        <scheme val="minor"/>
      </rPr>
      <t xml:space="preserve"> </t>
    </r>
    <r>
      <rPr>
        <b/>
        <sz val="11"/>
        <color rgb="FF00B050"/>
        <rFont val="Calibri"/>
        <family val="2"/>
        <scheme val="minor"/>
      </rPr>
      <t>Airport (</t>
    </r>
    <r>
      <rPr>
        <b/>
        <sz val="11"/>
        <color rgb="FF7030A0"/>
        <rFont val="Calibri"/>
        <family val="2"/>
        <scheme val="minor"/>
      </rPr>
      <t>DFW</t>
    </r>
    <r>
      <rPr>
        <b/>
        <sz val="11"/>
        <color rgb="FF00B050"/>
        <rFont val="Calibri"/>
        <family val="2"/>
        <scheme val="minor"/>
      </rPr>
      <t>)</t>
    </r>
  </si>
  <si>
    <t>Dallas Fort Worth</t>
  </si>
  <si>
    <r>
      <rPr>
        <b/>
        <sz val="11"/>
        <color rgb="FF0070C0"/>
        <rFont val="Calibri"/>
        <family val="2"/>
        <scheme val="minor"/>
      </rPr>
      <t>Hartsfield-Jackson Atlanta</t>
    </r>
    <r>
      <rPr>
        <b/>
        <sz val="11"/>
        <color theme="1"/>
        <rFont val="Calibri"/>
        <family val="2"/>
        <scheme val="minor"/>
      </rPr>
      <t xml:space="preserve"> </t>
    </r>
    <r>
      <rPr>
        <b/>
        <sz val="11"/>
        <color rgb="FF00B050"/>
        <rFont val="Calibri"/>
        <family val="2"/>
        <scheme val="minor"/>
      </rPr>
      <t>Airport (</t>
    </r>
    <r>
      <rPr>
        <b/>
        <sz val="11"/>
        <color rgb="FF7030A0"/>
        <rFont val="Calibri"/>
        <family val="2"/>
        <scheme val="minor"/>
      </rPr>
      <t>ATL</t>
    </r>
    <r>
      <rPr>
        <b/>
        <sz val="11"/>
        <color rgb="FF00B050"/>
        <rFont val="Calibri"/>
        <family val="2"/>
        <scheme val="minor"/>
      </rPr>
      <t>)</t>
    </r>
  </si>
  <si>
    <r>
      <t xml:space="preserve">Airport Names + </t>
    </r>
    <r>
      <rPr>
        <b/>
        <sz val="11"/>
        <color rgb="FF00B050"/>
        <rFont val="Calibri"/>
        <family val="2"/>
        <scheme val="minor"/>
      </rPr>
      <t>Airport + (</t>
    </r>
    <r>
      <rPr>
        <b/>
        <sz val="11"/>
        <color theme="1"/>
        <rFont val="Calibri"/>
        <family val="2"/>
        <scheme val="minor"/>
      </rPr>
      <t>IATA</t>
    </r>
    <r>
      <rPr>
        <b/>
        <sz val="11"/>
        <color rgb="FF00B050"/>
        <rFont val="Calibri"/>
        <family val="2"/>
        <scheme val="minor"/>
      </rPr>
      <t>)</t>
    </r>
  </si>
  <si>
    <t>Use Flash Fill to put together busy airport names, add the word "airport" and add the IATA code in parentheses.</t>
  </si>
  <si>
    <t>Exercise 3: Busy busy airports!</t>
  </si>
  <si>
    <t>Winner Shatner</t>
  </si>
  <si>
    <t>Willam 'Winner' Shatner</t>
  </si>
  <si>
    <t>MacLachlan</t>
  </si>
  <si>
    <t>Sarah MacLachlan</t>
  </si>
  <si>
    <t>Claus</t>
  </si>
  <si>
    <t>Santa Claus</t>
  </si>
  <si>
    <t>Radiant Gosling</t>
  </si>
  <si>
    <t>Ryan 'Radiant' Gosling</t>
  </si>
  <si>
    <t>Notable Furtado</t>
  </si>
  <si>
    <t>Nelly 'Notable' Furtado</t>
  </si>
  <si>
    <t>Nice Filion</t>
  </si>
  <si>
    <t>Nathan 'Nice' Filion</t>
  </si>
  <si>
    <t>Magical Cera</t>
  </si>
  <si>
    <t>Michael 'Magical' Cera</t>
  </si>
  <si>
    <t>Cohen</t>
  </si>
  <si>
    <t>Leonard Cohen</t>
  </si>
  <si>
    <t>Dion</t>
  </si>
  <si>
    <t>Celine Dion</t>
  </si>
  <si>
    <t>Adams</t>
  </si>
  <si>
    <t>Bryan Adams</t>
  </si>
  <si>
    <t>Awesome Lavigne</t>
  </si>
  <si>
    <t>Avril 'Awesome' Lavigne</t>
  </si>
  <si>
    <t>Adj + Last Name</t>
  </si>
  <si>
    <t>Random Famous People</t>
  </si>
  <si>
    <r>
      <rPr>
        <b/>
        <sz val="11"/>
        <color rgb="FF0070C0"/>
        <rFont val="Calibri"/>
        <family val="2"/>
        <scheme val="minor"/>
      </rPr>
      <t>Bryan</t>
    </r>
    <r>
      <rPr>
        <b/>
        <sz val="11"/>
        <color theme="1"/>
        <rFont val="Calibri"/>
        <family val="2"/>
        <scheme val="minor"/>
      </rPr>
      <t xml:space="preserve"> </t>
    </r>
    <r>
      <rPr>
        <b/>
        <sz val="11"/>
        <color rgb="FF00B050"/>
        <rFont val="Calibri"/>
        <family val="2"/>
        <scheme val="minor"/>
      </rPr>
      <t>Adams</t>
    </r>
  </si>
  <si>
    <r>
      <rPr>
        <b/>
        <sz val="11"/>
        <color rgb="FF7030A0"/>
        <rFont val="Calibri"/>
        <family val="2"/>
        <scheme val="minor"/>
      </rPr>
      <t>Awesome</t>
    </r>
    <r>
      <rPr>
        <b/>
        <sz val="11"/>
        <color theme="1"/>
        <rFont val="Calibri"/>
        <family val="2"/>
        <scheme val="minor"/>
      </rPr>
      <t xml:space="preserve"> </t>
    </r>
    <r>
      <rPr>
        <b/>
        <sz val="11"/>
        <color rgb="FF00B050"/>
        <rFont val="Calibri"/>
        <family val="2"/>
        <scheme val="minor"/>
      </rPr>
      <t>Lavigne</t>
    </r>
  </si>
  <si>
    <r>
      <rPr>
        <b/>
        <sz val="11"/>
        <color rgb="FF0070C0"/>
        <rFont val="Calibri"/>
        <family val="2"/>
        <scheme val="minor"/>
      </rPr>
      <t>Avril</t>
    </r>
    <r>
      <rPr>
        <b/>
        <sz val="11"/>
        <color theme="1"/>
        <rFont val="Calibri"/>
        <family val="2"/>
        <scheme val="minor"/>
      </rPr>
      <t xml:space="preserve"> '</t>
    </r>
    <r>
      <rPr>
        <b/>
        <sz val="11"/>
        <color rgb="FF7030A0"/>
        <rFont val="Calibri"/>
        <family val="2"/>
        <scheme val="minor"/>
      </rPr>
      <t>Awesome</t>
    </r>
    <r>
      <rPr>
        <b/>
        <sz val="11"/>
        <color theme="1"/>
        <rFont val="Calibri"/>
        <family val="2"/>
        <scheme val="minor"/>
      </rPr>
      <t xml:space="preserve">' </t>
    </r>
    <r>
      <rPr>
        <b/>
        <sz val="11"/>
        <color rgb="FF00B050"/>
        <rFont val="Calibri"/>
        <family val="2"/>
        <scheme val="minor"/>
      </rPr>
      <t>Lavigne</t>
    </r>
  </si>
  <si>
    <t>Use Flash Fill to extract the adjective and last name, when some famous people don't have an adjective</t>
  </si>
  <si>
    <t>Exercise 2: Random Famous People with Exceptions</t>
  </si>
  <si>
    <t>Winner</t>
  </si>
  <si>
    <t>Shatner</t>
  </si>
  <si>
    <t>Willam</t>
  </si>
  <si>
    <t>Sensational</t>
  </si>
  <si>
    <t>Sarah</t>
  </si>
  <si>
    <t>Sarah 'Sensational' MacLachlan</t>
  </si>
  <si>
    <t>Jolly</t>
  </si>
  <si>
    <t>Santa</t>
  </si>
  <si>
    <t>Santa 'Jolly' Claus</t>
  </si>
  <si>
    <t>Radiant</t>
  </si>
  <si>
    <t>Gosling</t>
  </si>
  <si>
    <t>Ryan</t>
  </si>
  <si>
    <t>Notable</t>
  </si>
  <si>
    <t>Furtado</t>
  </si>
  <si>
    <t>Nelly</t>
  </si>
  <si>
    <t>Nice</t>
  </si>
  <si>
    <t>Filion</t>
  </si>
  <si>
    <t>Nathan</t>
  </si>
  <si>
    <t>Cera</t>
  </si>
  <si>
    <t>Michael</t>
  </si>
  <si>
    <t>Lovely</t>
  </si>
  <si>
    <t>Leonard</t>
  </si>
  <si>
    <t>Leonard 'Lovely' Cohen</t>
  </si>
  <si>
    <t>Courageous</t>
  </si>
  <si>
    <t>Celine</t>
  </si>
  <si>
    <t>Celine 'Courageous' Dion</t>
  </si>
  <si>
    <t>Beautiful</t>
  </si>
  <si>
    <t>Bryan</t>
  </si>
  <si>
    <t>Bryan 'Beautiful' Adams</t>
  </si>
  <si>
    <t>Awesome</t>
  </si>
  <si>
    <t>Lavigne</t>
  </si>
  <si>
    <t>Avril</t>
  </si>
  <si>
    <t>Adjective</t>
  </si>
  <si>
    <t>Use Flash Fill to extract the first name, last name, and adjectives in the random list of famous people.</t>
  </si>
  <si>
    <t>Exercise 1: Random Famous People</t>
  </si>
  <si>
    <t xml:space="preserve">         Main Menu         </t>
  </si>
  <si>
    <t>Flash Fill Exercises</t>
  </si>
  <si>
    <t>Cells in this column and beyond are used for conditional formatting purposes and should be ignored.</t>
  </si>
  <si>
    <t>"???"</t>
  </si>
  <si>
    <r>
      <t xml:space="preserve">If you are very confident with Excel, or need efficiency (such as when working with hundreds of thousands of rows of data), consider </t>
    </r>
    <r>
      <rPr>
        <b/>
        <sz val="11"/>
        <color theme="1"/>
        <rFont val="Calibri"/>
        <family val="2"/>
        <scheme val="minor"/>
      </rPr>
      <t>Index Match</t>
    </r>
  </si>
  <si>
    <r>
      <t xml:space="preserve">Use </t>
    </r>
    <r>
      <rPr>
        <b/>
        <sz val="11"/>
        <color theme="1"/>
        <rFont val="Calibri"/>
        <family val="2"/>
        <scheme val="minor"/>
      </rPr>
      <t xml:space="preserve">Hlookup in older versions of Excel </t>
    </r>
    <r>
      <rPr>
        <sz val="11"/>
        <color theme="1"/>
        <rFont val="Calibri"/>
        <family val="2"/>
        <scheme val="minor"/>
      </rPr>
      <t>to lookup values across columns instead of across rows.</t>
    </r>
  </si>
  <si>
    <t>Vlookup was used for older versions of Excel.</t>
  </si>
  <si>
    <t>XLookup versus VLookup versus Index/Match</t>
  </si>
  <si>
    <t>Hercules</t>
  </si>
  <si>
    <t>Growl</t>
  </si>
  <si>
    <t>Fluffy</t>
  </si>
  <si>
    <t>Hiss</t>
  </si>
  <si>
    <t>Farmer Ted's list of cats and their favorite sound</t>
  </si>
  <si>
    <t>Table of cats and the sounds that they make and how nice from 1 to 5</t>
  </si>
  <si>
    <t>You can match values on more than one condition in XLookup which involves some hideous array math!</t>
  </si>
  <si>
    <t>XLookup looking with multiple conditions</t>
  </si>
  <si>
    <t>Nice (filled in magically)</t>
  </si>
  <si>
    <t>Table of animals and the sounds that they make and how nice from 1 to 5</t>
  </si>
  <si>
    <t>XLookup can return more than one column at a time!</t>
  </si>
  <si>
    <t>XLookup returning an array example</t>
  </si>
  <si>
    <t>Simple</t>
  </si>
  <si>
    <t>Simple XLookup</t>
  </si>
  <si>
    <t>XLookup with wildcards example</t>
  </si>
  <si>
    <t>If you're having trouble matching cells that contain text, learn about the TRIM or CLEAN formulas.</t>
  </si>
  <si>
    <t>Important XLookup Notes</t>
  </si>
  <si>
    <t>This can speed up the search and your entire Excel file!</t>
  </si>
  <si>
    <t>For the sixth argument of Xlookup, if not using the default, you'll likely want to have your data already sorted.</t>
  </si>
  <si>
    <t>You'll likely want to be looking up numbers if selecting the options for the closest smaller or closest bigger match.</t>
  </si>
  <si>
    <t>For the fifth argument of XLookup, you'll want to google how to use wildcards if selecting that option (which allows for fuzzy matches).</t>
  </si>
  <si>
    <t>Basically, a "reference" table full of information you want to look up. A list of prices per products, a list of patients with their characteristics, a list of books, etc.</t>
  </si>
  <si>
    <t>You need a table of unique values or unique set of values for which there are other values in the same row that you need returned.</t>
  </si>
  <si>
    <t>XLookup is only available in Excel for Microsoft 365, Excel 2021, or Excel for the web.</t>
  </si>
  <si>
    <t>What needs to be in place for Xlookup to work</t>
  </si>
  <si>
    <r>
      <t xml:space="preserve">Sixth, </t>
    </r>
    <r>
      <rPr>
        <sz val="11"/>
        <color theme="1"/>
        <rFont val="Calibri"/>
        <family val="2"/>
        <scheme val="minor"/>
      </rPr>
      <t xml:space="preserve">we left off the </t>
    </r>
    <r>
      <rPr>
        <i/>
        <sz val="11"/>
        <color theme="1"/>
        <rFont val="Calibri"/>
        <family val="2"/>
        <scheme val="minor"/>
      </rPr>
      <t xml:space="preserve">optional </t>
    </r>
    <r>
      <rPr>
        <sz val="11"/>
        <color theme="1"/>
        <rFont val="Calibri"/>
        <family val="2"/>
        <scheme val="minor"/>
      </rPr>
      <t>search mode argument. The default is to go from top to bottom, so that's what XLookup is doing.</t>
    </r>
  </si>
  <si>
    <r>
      <t xml:space="preserve">Fifth, </t>
    </r>
    <r>
      <rPr>
        <sz val="11"/>
        <color theme="1"/>
        <rFont val="Calibri"/>
        <family val="2"/>
        <scheme val="minor"/>
      </rPr>
      <t xml:space="preserve">we left off the </t>
    </r>
    <r>
      <rPr>
        <i/>
        <sz val="11"/>
        <color theme="1"/>
        <rFont val="Calibri"/>
        <family val="2"/>
        <scheme val="minor"/>
      </rPr>
      <t xml:space="preserve">optional </t>
    </r>
    <r>
      <rPr>
        <sz val="11"/>
        <color theme="1"/>
        <rFont val="Calibri"/>
        <family val="2"/>
        <scheme val="minor"/>
      </rPr>
      <t>match argument. The default is to look for an exact match, so that's what XLookup is doing.</t>
    </r>
  </si>
  <si>
    <r>
      <rPr>
        <b/>
        <sz val="11"/>
        <rFont val="Calibri"/>
        <family val="2"/>
        <scheme val="minor"/>
      </rPr>
      <t xml:space="preserve">Fourth </t>
    </r>
    <r>
      <rPr>
        <b/>
        <sz val="11"/>
        <color rgb="FFCC66FF"/>
        <rFont val="Calibri"/>
        <family val="2"/>
        <scheme val="minor"/>
      </rPr>
      <t>"NOT FOUND!!!"</t>
    </r>
    <r>
      <rPr>
        <b/>
        <sz val="11"/>
        <rFont val="Calibri"/>
        <family val="2"/>
        <scheme val="minor"/>
      </rPr>
      <t xml:space="preserve"> </t>
    </r>
    <r>
      <rPr>
        <sz val="11"/>
        <color theme="1"/>
        <rFont val="Calibri"/>
        <family val="2"/>
        <scheme val="minor"/>
      </rPr>
      <t>tells Excel that if the animal doesn't exist, tell us that it wasn't found.</t>
    </r>
  </si>
  <si>
    <t>Animals are in B column, sounds in the C column. So look for "Cat", and tell us what sound the "cat" makes.</t>
  </si>
  <si>
    <t>In-depth look at the Xlookup formula</t>
  </si>
  <si>
    <t>Simple Xlookup</t>
  </si>
  <si>
    <t>…while Farmer Ted has a list of animals for which they would like to automatically associate sounds.</t>
  </si>
  <si>
    <t>Simple XLookup Example</t>
  </si>
  <si>
    <t>XLookup can get very complex. Start simple, and build complexity in as you get more comfortable!</t>
  </si>
  <si>
    <t>Keep in mind that Xlookup never worries about capitalization.</t>
  </si>
  <si>
    <r>
      <t xml:space="preserve">Sixth, </t>
    </r>
    <r>
      <rPr>
        <sz val="11"/>
        <color theme="1"/>
        <rFont val="Calibri"/>
        <family val="2"/>
        <scheme val="minor"/>
      </rPr>
      <t xml:space="preserve">it </t>
    </r>
    <r>
      <rPr>
        <i/>
        <sz val="11"/>
        <color theme="1"/>
        <rFont val="Calibri"/>
        <family val="2"/>
        <scheme val="minor"/>
      </rPr>
      <t xml:space="preserve">optionally </t>
    </r>
    <r>
      <rPr>
        <sz val="11"/>
        <color theme="1"/>
        <rFont val="Calibri"/>
        <family val="2"/>
        <scheme val="minor"/>
      </rPr>
      <t>wants to know if it should be looking from top to bottom, from bottom to top, and whether or not the data has been sorted.</t>
    </r>
  </si>
  <si>
    <r>
      <t xml:space="preserve">Fifth, </t>
    </r>
    <r>
      <rPr>
        <sz val="11"/>
        <color theme="1"/>
        <rFont val="Calibri"/>
        <family val="2"/>
        <scheme val="minor"/>
      </rPr>
      <t xml:space="preserve">it </t>
    </r>
    <r>
      <rPr>
        <i/>
        <sz val="11"/>
        <color theme="1"/>
        <rFont val="Calibri"/>
        <family val="2"/>
        <scheme val="minor"/>
      </rPr>
      <t xml:space="preserve">optionally </t>
    </r>
    <r>
      <rPr>
        <sz val="11"/>
        <color theme="1"/>
        <rFont val="Calibri"/>
        <family val="2"/>
        <scheme val="minor"/>
      </rPr>
      <t>wants to need if it's looking for an exact match, the closest smaller item, the closest bigger item, or doing a wildcard search.</t>
    </r>
  </si>
  <si>
    <r>
      <rPr>
        <b/>
        <sz val="11"/>
        <color theme="1"/>
        <rFont val="Calibri"/>
        <family val="2"/>
        <scheme val="minor"/>
      </rPr>
      <t>Fourth</t>
    </r>
    <r>
      <rPr>
        <sz val="11"/>
        <color theme="1"/>
        <rFont val="Calibri"/>
        <family val="2"/>
        <scheme val="minor"/>
      </rPr>
      <t xml:space="preserve">, it </t>
    </r>
    <r>
      <rPr>
        <i/>
        <sz val="11"/>
        <color theme="1"/>
        <rFont val="Calibri"/>
        <family val="2"/>
        <scheme val="minor"/>
      </rPr>
      <t xml:space="preserve">optionally </t>
    </r>
    <r>
      <rPr>
        <sz val="11"/>
        <color theme="1"/>
        <rFont val="Calibri"/>
        <family val="2"/>
        <scheme val="minor"/>
      </rPr>
      <t>wants to know what it should do if a value it's looking up (in the first part) doesn't exist in the second part.</t>
    </r>
  </si>
  <si>
    <r>
      <rPr>
        <b/>
        <sz val="11"/>
        <color theme="1"/>
        <rFont val="Calibri"/>
        <family val="2"/>
        <scheme val="minor"/>
      </rPr>
      <t>Third</t>
    </r>
    <r>
      <rPr>
        <sz val="11"/>
        <color theme="1"/>
        <rFont val="Calibri"/>
        <family val="2"/>
        <scheme val="minor"/>
      </rPr>
      <t>, it wants the "return array" - the columns from which it will be extracting data.</t>
    </r>
  </si>
  <si>
    <r>
      <rPr>
        <b/>
        <sz val="11"/>
        <color theme="1"/>
        <rFont val="Calibri"/>
        <family val="2"/>
        <scheme val="minor"/>
      </rPr>
      <t>Second</t>
    </r>
    <r>
      <rPr>
        <sz val="11"/>
        <color theme="1"/>
        <rFont val="Calibri"/>
        <family val="2"/>
        <scheme val="minor"/>
      </rPr>
      <t xml:space="preserve">, it wants to know the array in which it will be looking up whatever it is you need it to look up. </t>
    </r>
  </si>
  <si>
    <t xml:space="preserve">Xlookup will put data in your cell by looking up values in another column. It has six arguments. </t>
  </si>
  <si>
    <t>How to get XLookup to work</t>
  </si>
  <si>
    <t>Important XLookup notes</t>
  </si>
  <si>
    <t>What needs to be in place for XLookup to work</t>
  </si>
  <si>
    <t>Orange</t>
  </si>
  <si>
    <t>Green</t>
  </si>
  <si>
    <t>Banana</t>
  </si>
  <si>
    <t>Overly ripe</t>
  </si>
  <si>
    <t>Apple</t>
  </si>
  <si>
    <t>Look up the cost</t>
  </si>
  <si>
    <t>Category</t>
  </si>
  <si>
    <t>Grocery Item</t>
  </si>
  <si>
    <r>
      <t xml:space="preserve">Please note: </t>
    </r>
    <r>
      <rPr>
        <sz val="11"/>
        <color theme="1"/>
        <rFont val="Calibri"/>
        <family val="2"/>
        <scheme val="minor"/>
      </rPr>
      <t>there is no auto-correct active for this exercise, as you are meant to try different values of grocery items and categories in the corresponding columns of your table.</t>
    </r>
  </si>
  <si>
    <t>You may want to review how to do XLookup with multiple conditions…</t>
  </si>
  <si>
    <t>Arrange a formula in your "table" of values to find that will give you the cost of any item you look up, and a friendly message if an item doesn't exist.</t>
  </si>
  <si>
    <t>You want to be able to quickly look up the cost of any grocery item.</t>
  </si>
  <si>
    <t>Exercise 5: Comparing apples and oranges</t>
  </si>
  <si>
    <t>Zootopia</t>
  </si>
  <si>
    <t>Two for the Money</t>
  </si>
  <si>
    <t>Top Gun: Maverick</t>
  </si>
  <si>
    <t>Titanic</t>
  </si>
  <si>
    <t>Three Kings</t>
  </si>
  <si>
    <t>The Sixth Sense</t>
  </si>
  <si>
    <t>The Nines</t>
  </si>
  <si>
    <t>The Magnificient Seven</t>
  </si>
  <si>
    <t>The Lion King</t>
  </si>
  <si>
    <t>Star Wars: Episode VII</t>
  </si>
  <si>
    <t>Spider-Man: No Way Home</t>
  </si>
  <si>
    <t>Slaughterhouse-Five</t>
  </si>
  <si>
    <t>Skyfall</t>
  </si>
  <si>
    <t>Seven</t>
  </si>
  <si>
    <t>Rogue One: A Star Wars Story</t>
  </si>
  <si>
    <t>One Flew Over the Cuckoo's Nest</t>
  </si>
  <si>
    <t>Jurassic World</t>
  </si>
  <si>
    <t>Nine</t>
  </si>
  <si>
    <t>Furious 7</t>
  </si>
  <si>
    <t>Eight Below</t>
  </si>
  <si>
    <t>Eight</t>
  </si>
  <si>
    <t>Frozen II</t>
  </si>
  <si>
    <t>Fantastic Four</t>
  </si>
  <si>
    <t>Six</t>
  </si>
  <si>
    <t>Five</t>
  </si>
  <si>
    <t>Barbie</t>
  </si>
  <si>
    <t>Four</t>
  </si>
  <si>
    <t>Avengers: Infinity War</t>
  </si>
  <si>
    <t>Three</t>
  </si>
  <si>
    <t>Avengers: Endgame</t>
  </si>
  <si>
    <t>Two</t>
  </si>
  <si>
    <t>Avatar: The Way of Water</t>
  </si>
  <si>
    <t>One</t>
  </si>
  <si>
    <t>Avatar</t>
  </si>
  <si>
    <t>Movie name</t>
  </si>
  <si>
    <t>Number</t>
  </si>
  <si>
    <t>You may want to review the Xlookup with wildcards example.</t>
  </si>
  <si>
    <t>You want to make a list of movies that have numbers in them, in numerical order!</t>
  </si>
  <si>
    <t>Exercise 4: You can count on movies!</t>
  </si>
  <si>
    <t>Webman</t>
  </si>
  <si>
    <t>Stupendousman</t>
  </si>
  <si>
    <t>Ratwoman</t>
  </si>
  <si>
    <t>Ratman</t>
  </si>
  <si>
    <t>Mouse</t>
  </si>
  <si>
    <t>Black Recluse</t>
  </si>
  <si>
    <t>Ashes</t>
  </si>
  <si>
    <t>Total Purchases</t>
  </si>
  <si>
    <t>Hero Name</t>
  </si>
  <si>
    <t>Bonus table that uses the information you looked up and SUMIFS to calculate the total purchases for each hero</t>
  </si>
  <si>
    <t>Cape</t>
  </si>
  <si>
    <t>Ratarangs</t>
  </si>
  <si>
    <t>Rat Car</t>
  </si>
  <si>
    <t>Reinforced uniforms</t>
  </si>
  <si>
    <t>Makeshift uniforms</t>
  </si>
  <si>
    <t>First aid kit</t>
  </si>
  <si>
    <t>Redacted</t>
  </si>
  <si>
    <t>Total Cost</t>
  </si>
  <si>
    <t>Look Up Hero Name</t>
  </si>
  <si>
    <t>Look Up Item Cost</t>
  </si>
  <si>
    <t>Quantity</t>
  </si>
  <si>
    <t>Equipment purchase</t>
  </si>
  <si>
    <t>ID</t>
  </si>
  <si>
    <t>Zeta Ray Emitters</t>
  </si>
  <si>
    <t>Small invisible plane</t>
  </si>
  <si>
    <t>Pewter Parking</t>
  </si>
  <si>
    <t>Natalie Rovanov</t>
  </si>
  <si>
    <t>Marg Bordon</t>
  </si>
  <si>
    <t>Karl Tent</t>
  </si>
  <si>
    <t>Gene Gray</t>
  </si>
  <si>
    <t>Brute Vain</t>
  </si>
  <si>
    <t>Al Draped</t>
  </si>
  <si>
    <t>Civilian Identity</t>
  </si>
  <si>
    <t>Item Cost</t>
  </si>
  <si>
    <t>Equipment</t>
  </si>
  <si>
    <t>Table with heroes to look up</t>
  </si>
  <si>
    <t>Table with equipment to look up</t>
  </si>
  <si>
    <r>
      <t xml:space="preserve">Lookup information in not one but </t>
    </r>
    <r>
      <rPr>
        <i/>
        <sz val="11"/>
        <color theme="1"/>
        <rFont val="Calibri"/>
        <family val="2"/>
        <scheme val="minor"/>
      </rPr>
      <t xml:space="preserve">two </t>
    </r>
    <r>
      <rPr>
        <sz val="11"/>
        <color theme="1"/>
        <rFont val="Calibri"/>
        <family val="2"/>
        <scheme val="minor"/>
      </rPr>
      <t>different tables!</t>
    </r>
  </si>
  <si>
    <t>You need to calculate how much various heroes have been spending on their equipment.</t>
  </si>
  <si>
    <t>Exercise 3: Superhero equipment is expensive!</t>
  </si>
  <si>
    <t>So to speed things up here, use Xlookup to find the appropriate country in column H, and magically load the status/temperature in column I.</t>
  </si>
  <si>
    <t>Exercise 2: Celebrities and cities</t>
  </si>
  <si>
    <t>Tweet Tweet</t>
  </si>
  <si>
    <t>Bird</t>
  </si>
  <si>
    <t>Tweety</t>
  </si>
  <si>
    <t>Sprinkles</t>
  </si>
  <si>
    <t/>
  </si>
  <si>
    <t>Who knows?</t>
  </si>
  <si>
    <t>Kangaroo</t>
  </si>
  <si>
    <t>Chops</t>
  </si>
  <si>
    <t>Big</t>
  </si>
  <si>
    <t>Look up the sound</t>
  </si>
  <si>
    <t>Type of Animal</t>
  </si>
  <si>
    <t>Animal Name</t>
  </si>
  <si>
    <t>Use XLookup identify sounds in column G. If an animal doesn't exist, put in a blank ("")</t>
  </si>
  <si>
    <t xml:space="preserve">Farmer Ted has acquired a few new animals. Help them identify the sounds their animals make. </t>
  </si>
  <si>
    <t>Exercise 1: Just like in your "How To" notes!</t>
  </si>
  <si>
    <t>Exercise 1: Just like your "How To" notes!</t>
  </si>
  <si>
    <t>XLookup Exercises</t>
  </si>
  <si>
    <t>First Names</t>
  </si>
  <si>
    <t>Last names</t>
  </si>
  <si>
    <t>Arden "Awesome" Kayzak</t>
  </si>
  <si>
    <t>Sara "Stupendous" Tumpane</t>
  </si>
  <si>
    <t>Alex "Amazing" Cooper</t>
  </si>
  <si>
    <t>Sandra "Superb" Sawchuk</t>
  </si>
  <si>
    <t>Margaret "Marvelous" Vail</t>
  </si>
  <si>
    <t>Emanuela "Excellent" Chiriac</t>
  </si>
  <si>
    <t>Giovanna "Great" Badia</t>
  </si>
  <si>
    <t>Vivek "Valuable" Jadon</t>
  </si>
  <si>
    <t>Chantal "Clever" Ripp</t>
  </si>
  <si>
    <t>Amy "Astounding" Paterson</t>
  </si>
  <si>
    <t>Tara "Talented" Stieglitz</t>
  </si>
  <si>
    <t>Caleb "Creative" Domsy</t>
  </si>
  <si>
    <t>A2 SELECT WITH CRITERIA</t>
  </si>
  <si>
    <t>"Go to special" time! We're going to color all empty cells in the worksheet!</t>
  </si>
  <si>
    <t>We'll be done with "Flash fill" in a flash!</t>
  </si>
  <si>
    <t xml:space="preserve">      Instructions      </t>
  </si>
  <si>
    <t xml:space="preserve">    A2    </t>
  </si>
  <si>
    <t xml:space="preserve">    A3    </t>
  </si>
  <si>
    <t xml:space="preserve">   A4   </t>
  </si>
  <si>
    <t>A4 ELIMINATING DUPLICATES</t>
  </si>
  <si>
    <t xml:space="preserve">   A5   </t>
  </si>
  <si>
    <t>A5 FIND/REPLACE TRICKS</t>
  </si>
  <si>
    <t xml:space="preserve">     B1     </t>
  </si>
  <si>
    <t>Let's take a look at XLOOKUP!</t>
  </si>
  <si>
    <t xml:space="preserve">   B2   </t>
  </si>
  <si>
    <t xml:space="preserve">    B3    </t>
  </si>
  <si>
    <t>B3 COUNTA</t>
  </si>
  <si>
    <t xml:space="preserve">   B4   </t>
  </si>
  <si>
    <t>B4 SUMIF AND SUMIFS</t>
  </si>
  <si>
    <t xml:space="preserve">   C2   </t>
  </si>
  <si>
    <t>C2 LEFT, RIGHT, MID, and FIND STRING FUNCTIONS</t>
  </si>
  <si>
    <t xml:space="preserve">   C3   </t>
  </si>
  <si>
    <t xml:space="preserve">   C4   </t>
  </si>
  <si>
    <t>C3 VLOOKUP</t>
  </si>
  <si>
    <t>C4 CSE FORMULAS</t>
  </si>
  <si>
    <t xml:space="preserve">            A1            </t>
  </si>
  <si>
    <t xml:space="preserve">            A4            </t>
  </si>
  <si>
    <t>SumIf and SumIfs</t>
  </si>
  <si>
    <t xml:space="preserve">            B4            </t>
  </si>
  <si>
    <t xml:space="preserve">            C1            </t>
  </si>
  <si>
    <t>Left, right, mid, find</t>
  </si>
  <si>
    <t xml:space="preserve">            C2            </t>
  </si>
  <si>
    <t>WHAT NEEDS TO BE IN PLACE FOR FLASH FILL TO WORK</t>
  </si>
  <si>
    <t>A3 FLASH FILL</t>
  </si>
  <si>
    <t>We're going to use Excel features to magically pull apart or put together text that has a pattern.</t>
  </si>
  <si>
    <t>You could use flash fill to extract first names from columns containing full names.</t>
  </si>
  <si>
    <t>You could also use it to combine multiple columns together while ignoring blank cells.</t>
  </si>
  <si>
    <t>Just keep practicing on your data! It only takes a second to try using flash fill.</t>
  </si>
  <si>
    <t>You may also want to look into formulas that work with text, such as in sections C1 and C2</t>
  </si>
  <si>
    <t>Just keep reading to learn more about Flash Fill.</t>
  </si>
  <si>
    <t>Once you feel ready, go do the exercises!</t>
  </si>
  <si>
    <t>B1 XLOOKUP</t>
  </si>
  <si>
    <t>Index/Match is similar and helpful if you will be sharing with older versions of Excel.</t>
  </si>
  <si>
    <t>Just read the instructions, then go do the exercises.</t>
  </si>
  <si>
    <t xml:space="preserve">Xlookup... Looks things up for you! </t>
  </si>
  <si>
    <t xml:space="preserve"> another spreadsheet but I want it here everywhere it matches?"</t>
  </si>
  <si>
    <t>Answer questions like "is x in my main list". Or "I have x in</t>
  </si>
  <si>
    <r>
      <t>=XLOOKUP(</t>
    </r>
    <r>
      <rPr>
        <b/>
        <sz val="11"/>
        <color rgb="FFED7D31"/>
        <rFont val="Calibri"/>
        <family val="2"/>
        <scheme val="minor"/>
      </rPr>
      <t>F43</t>
    </r>
    <r>
      <rPr>
        <b/>
        <sz val="11"/>
        <color theme="1"/>
        <rFont val="Calibri"/>
        <family val="2"/>
        <scheme val="minor"/>
      </rPr>
      <t>,</t>
    </r>
    <r>
      <rPr>
        <b/>
        <sz val="11"/>
        <color rgb="FF7030A0"/>
        <rFont val="Calibri"/>
        <family val="2"/>
        <scheme val="minor"/>
      </rPr>
      <t>$B$43:$B$49</t>
    </r>
    <r>
      <rPr>
        <b/>
        <sz val="11"/>
        <color theme="1"/>
        <rFont val="Calibri"/>
        <family val="2"/>
        <scheme val="minor"/>
      </rPr>
      <t>,</t>
    </r>
    <r>
      <rPr>
        <b/>
        <sz val="11"/>
        <color rgb="FF00B050"/>
        <rFont val="Calibri"/>
        <family val="2"/>
        <scheme val="minor"/>
      </rPr>
      <t>$C$43:$C$49</t>
    </r>
    <r>
      <rPr>
        <b/>
        <sz val="11"/>
        <color theme="1"/>
        <rFont val="Calibri"/>
        <family val="2"/>
        <scheme val="minor"/>
      </rPr>
      <t>,</t>
    </r>
    <r>
      <rPr>
        <b/>
        <sz val="11"/>
        <color rgb="FFCC66FF"/>
        <rFont val="Calibri"/>
        <family val="2"/>
        <scheme val="minor"/>
      </rPr>
      <t>"NOT FOUND!!!"</t>
    </r>
    <r>
      <rPr>
        <b/>
        <sz val="11"/>
        <color theme="1"/>
        <rFont val="Calibri"/>
        <family val="2"/>
        <scheme val="minor"/>
      </rPr>
      <t>)</t>
    </r>
  </si>
  <si>
    <r>
      <rPr>
        <b/>
        <sz val="11"/>
        <color theme="1"/>
        <rFont val="Calibri"/>
        <family val="2"/>
        <scheme val="minor"/>
      </rPr>
      <t>First</t>
    </r>
    <r>
      <rPr>
        <sz val="11"/>
        <color theme="1"/>
        <rFont val="Calibri"/>
        <family val="2"/>
        <scheme val="minor"/>
      </rPr>
      <t>, we tell Excel we want to lookup</t>
    </r>
    <r>
      <rPr>
        <sz val="11"/>
        <color theme="9" tint="-0.249977111117893"/>
        <rFont val="Calibri"/>
        <family val="2"/>
        <scheme val="minor"/>
      </rPr>
      <t xml:space="preserve"> </t>
    </r>
    <r>
      <rPr>
        <b/>
        <sz val="11"/>
        <color theme="9" tint="-0.249977111117893"/>
        <rFont val="Calibri"/>
        <family val="2"/>
        <scheme val="minor"/>
      </rPr>
      <t>"</t>
    </r>
    <r>
      <rPr>
        <b/>
        <sz val="11"/>
        <color rgb="FFED7D31"/>
        <rFont val="Calibri"/>
        <family val="2"/>
        <scheme val="minor"/>
      </rPr>
      <t>Cat</t>
    </r>
    <r>
      <rPr>
        <b/>
        <sz val="11"/>
        <color theme="9" tint="-0.249977111117893"/>
        <rFont val="Calibri"/>
        <family val="2"/>
        <scheme val="minor"/>
      </rPr>
      <t>"</t>
    </r>
    <r>
      <rPr>
        <sz val="11"/>
        <color theme="1"/>
        <rFont val="Calibri"/>
        <family val="2"/>
        <scheme val="minor"/>
      </rPr>
      <t xml:space="preserve"> or whatever is contained in cell </t>
    </r>
    <r>
      <rPr>
        <b/>
        <sz val="11"/>
        <color rgb="FFED7D31"/>
        <rFont val="Calibri"/>
        <family val="2"/>
        <scheme val="minor"/>
      </rPr>
      <t>F43</t>
    </r>
    <r>
      <rPr>
        <sz val="11"/>
        <color theme="1"/>
        <rFont val="Calibri"/>
        <family val="2"/>
        <scheme val="minor"/>
      </rPr>
      <t>.</t>
    </r>
  </si>
  <si>
    <r>
      <rPr>
        <b/>
        <sz val="11"/>
        <color theme="1"/>
        <rFont val="Calibri"/>
        <family val="2"/>
        <scheme val="minor"/>
      </rPr>
      <t>Second</t>
    </r>
    <r>
      <rPr>
        <sz val="11"/>
        <color theme="1"/>
        <rFont val="Calibri"/>
        <family val="2"/>
        <scheme val="minor"/>
      </rPr>
      <t xml:space="preserve">, we tell Excel we'll be looking that up in our table of animal sounds, in array </t>
    </r>
    <r>
      <rPr>
        <b/>
        <sz val="11"/>
        <color rgb="FF7030A0"/>
        <rFont val="Calibri"/>
        <family val="2"/>
        <scheme val="minor"/>
      </rPr>
      <t xml:space="preserve">B43 to B49 ($B$43:$B$49) </t>
    </r>
    <r>
      <rPr>
        <sz val="11"/>
        <color theme="1"/>
        <rFont val="Calibri"/>
        <family val="2"/>
        <scheme val="minor"/>
      </rPr>
      <t>- our column of animals</t>
    </r>
  </si>
  <si>
    <r>
      <rPr>
        <b/>
        <sz val="11"/>
        <color theme="1"/>
        <rFont val="Calibri"/>
        <family val="2"/>
        <scheme val="minor"/>
      </rPr>
      <t>Third</t>
    </r>
    <r>
      <rPr>
        <sz val="11"/>
        <color theme="1"/>
        <rFont val="Calibri"/>
        <family val="2"/>
        <scheme val="minor"/>
      </rPr>
      <t xml:space="preserve">, we tell Excel we want it to give us the corresponding sound from our table of animal sounds in array </t>
    </r>
    <r>
      <rPr>
        <b/>
        <sz val="11"/>
        <color rgb="FF00B050"/>
        <rFont val="Calibri"/>
        <family val="2"/>
        <scheme val="minor"/>
      </rPr>
      <t>C43 to C49 ($C$43:$C$49)</t>
    </r>
    <r>
      <rPr>
        <sz val="11"/>
        <color theme="1"/>
        <rFont val="Calibri"/>
        <family val="2"/>
        <scheme val="minor"/>
      </rPr>
      <t>.</t>
    </r>
  </si>
  <si>
    <t>Vlookup also works with wildcards. Like "*" &amp; F86 &amp; "*". Um…just…look at the example, I guess.</t>
  </si>
  <si>
    <r>
      <t>=XLOOKUP(</t>
    </r>
    <r>
      <rPr>
        <b/>
        <sz val="11"/>
        <color rgb="FFED7D31"/>
        <rFont val="Calibri"/>
        <family val="2"/>
        <scheme val="minor"/>
      </rPr>
      <t>"*"&amp;F86&amp;"*"</t>
    </r>
    <r>
      <rPr>
        <b/>
        <sz val="11"/>
        <color theme="1"/>
        <rFont val="Calibri"/>
        <family val="2"/>
        <scheme val="minor"/>
      </rPr>
      <t>,</t>
    </r>
    <r>
      <rPr>
        <b/>
        <sz val="11"/>
        <color rgb="FF7030A0"/>
        <rFont val="Calibri"/>
        <family val="2"/>
        <scheme val="minor"/>
      </rPr>
      <t>$B$86:$B$92</t>
    </r>
    <r>
      <rPr>
        <b/>
        <sz val="11"/>
        <color theme="1"/>
        <rFont val="Calibri"/>
        <family val="2"/>
        <scheme val="minor"/>
      </rPr>
      <t>,</t>
    </r>
    <r>
      <rPr>
        <b/>
        <sz val="11"/>
        <color rgb="FF00B050"/>
        <rFont val="Calibri"/>
        <family val="2"/>
        <scheme val="minor"/>
      </rPr>
      <t>$C$86:$C$92</t>
    </r>
    <r>
      <rPr>
        <b/>
        <sz val="11"/>
        <color theme="1"/>
        <rFont val="Calibri"/>
        <family val="2"/>
        <scheme val="minor"/>
      </rPr>
      <t>,</t>
    </r>
    <r>
      <rPr>
        <b/>
        <sz val="11"/>
        <color rgb="FFCC66FF"/>
        <rFont val="Calibri"/>
        <family val="2"/>
        <scheme val="minor"/>
      </rPr>
      <t>"NOT FOUND!!!"</t>
    </r>
    <r>
      <rPr>
        <b/>
        <sz val="11"/>
        <color theme="1"/>
        <rFont val="Calibri"/>
        <family val="2"/>
        <scheme val="minor"/>
      </rPr>
      <t>)</t>
    </r>
  </si>
  <si>
    <r>
      <t>=XLOOKUP(</t>
    </r>
    <r>
      <rPr>
        <b/>
        <sz val="11"/>
        <color rgb="FFED7D31"/>
        <rFont val="Calibri"/>
        <family val="2"/>
        <scheme val="minor"/>
      </rPr>
      <t>"*"&amp;F86&amp;"*"</t>
    </r>
    <r>
      <rPr>
        <b/>
        <sz val="11"/>
        <color rgb="FF7030A0"/>
        <rFont val="Calibri"/>
        <family val="2"/>
        <scheme val="minor"/>
      </rPr>
      <t>,$B$86:$B$92</t>
    </r>
    <r>
      <rPr>
        <b/>
        <sz val="11"/>
        <color theme="1"/>
        <rFont val="Calibri"/>
        <family val="2"/>
        <scheme val="minor"/>
      </rPr>
      <t>,</t>
    </r>
    <r>
      <rPr>
        <b/>
        <sz val="11"/>
        <color rgb="FF00B050"/>
        <rFont val="Calibri"/>
        <family val="2"/>
        <scheme val="minor"/>
      </rPr>
      <t>$C$86:$C$92</t>
    </r>
    <r>
      <rPr>
        <b/>
        <sz val="11"/>
        <color theme="1"/>
        <rFont val="Calibri"/>
        <family val="2"/>
        <scheme val="minor"/>
      </rPr>
      <t>,</t>
    </r>
    <r>
      <rPr>
        <b/>
        <sz val="11"/>
        <color rgb="FFCC66FF"/>
        <rFont val="Calibri"/>
        <family val="2"/>
        <scheme val="minor"/>
      </rPr>
      <t>"NOT FOUND!!!"</t>
    </r>
    <r>
      <rPr>
        <b/>
        <sz val="11"/>
        <color theme="1"/>
        <rFont val="Calibri"/>
        <family val="2"/>
        <scheme val="minor"/>
      </rPr>
      <t>,</t>
    </r>
    <r>
      <rPr>
        <b/>
        <sz val="11"/>
        <color rgb="FFFF0000"/>
        <rFont val="Calibri"/>
        <family val="2"/>
        <scheme val="minor"/>
      </rPr>
      <t>2</t>
    </r>
    <r>
      <rPr>
        <b/>
        <sz val="11"/>
        <color theme="1"/>
        <rFont val="Calibri"/>
        <family val="2"/>
        <scheme val="minor"/>
      </rPr>
      <t>)</t>
    </r>
  </si>
  <si>
    <r>
      <t>=XLOOKUP(</t>
    </r>
    <r>
      <rPr>
        <b/>
        <sz val="11"/>
        <color rgb="FFED7D31"/>
        <rFont val="Calibri"/>
        <family val="2"/>
        <scheme val="minor"/>
      </rPr>
      <t>G105</t>
    </r>
    <r>
      <rPr>
        <b/>
        <sz val="11"/>
        <color theme="1"/>
        <rFont val="Calibri"/>
        <family val="2"/>
        <scheme val="minor"/>
      </rPr>
      <t>,</t>
    </r>
    <r>
      <rPr>
        <b/>
        <sz val="11"/>
        <color rgb="FF7030A0"/>
        <rFont val="Calibri"/>
        <family val="2"/>
        <scheme val="minor"/>
      </rPr>
      <t>$B$105:$B$111</t>
    </r>
    <r>
      <rPr>
        <b/>
        <sz val="11"/>
        <color theme="1"/>
        <rFont val="Calibri"/>
        <family val="2"/>
        <scheme val="minor"/>
      </rPr>
      <t>,</t>
    </r>
    <r>
      <rPr>
        <b/>
        <sz val="11"/>
        <color rgb="FF00B050"/>
        <rFont val="Calibri"/>
        <family val="2"/>
        <scheme val="minor"/>
      </rPr>
      <t>$C$105:$D$111</t>
    </r>
    <r>
      <rPr>
        <b/>
        <sz val="11"/>
        <color theme="1"/>
        <rFont val="Calibri"/>
        <family val="2"/>
        <scheme val="minor"/>
      </rPr>
      <t>,</t>
    </r>
    <r>
      <rPr>
        <b/>
        <sz val="11"/>
        <color rgb="FFCC66FF"/>
        <rFont val="Calibri"/>
        <family val="2"/>
        <scheme val="minor"/>
      </rPr>
      <t>"NOT FOUND!!!"</t>
    </r>
    <r>
      <rPr>
        <b/>
        <sz val="11"/>
        <color theme="1"/>
        <rFont val="Calibri"/>
        <family val="2"/>
        <scheme val="minor"/>
      </rPr>
      <t>)</t>
    </r>
  </si>
  <si>
    <r>
      <t>=XLOOKUP(</t>
    </r>
    <r>
      <rPr>
        <b/>
        <sz val="11"/>
        <color rgb="FFED7D31"/>
        <rFont val="Calibri"/>
        <family val="2"/>
        <scheme val="minor"/>
      </rPr>
      <t>1</t>
    </r>
    <r>
      <rPr>
        <b/>
        <sz val="11"/>
        <color theme="1"/>
        <rFont val="Calibri"/>
        <family val="2"/>
        <scheme val="minor"/>
      </rPr>
      <t>,</t>
    </r>
    <r>
      <rPr>
        <b/>
        <sz val="11"/>
        <color rgb="FF7030A0"/>
        <rFont val="Calibri"/>
        <family val="2"/>
        <scheme val="minor"/>
      </rPr>
      <t>($B$123:$B$126=G123)*($C$123:$C$126=H123)</t>
    </r>
    <r>
      <rPr>
        <b/>
        <sz val="11"/>
        <color theme="1"/>
        <rFont val="Calibri"/>
        <family val="2"/>
        <scheme val="minor"/>
      </rPr>
      <t>,</t>
    </r>
    <r>
      <rPr>
        <b/>
        <sz val="11"/>
        <color rgb="FF00B050"/>
        <rFont val="Calibri"/>
        <family val="2"/>
        <scheme val="minor"/>
      </rPr>
      <t>$D$123:$D$126</t>
    </r>
    <r>
      <rPr>
        <b/>
        <sz val="11"/>
        <color theme="1"/>
        <rFont val="Calibri"/>
        <family val="2"/>
        <scheme val="minor"/>
      </rPr>
      <t>,</t>
    </r>
    <r>
      <rPr>
        <b/>
        <sz val="11"/>
        <color rgb="FFCC66FF"/>
        <rFont val="Calibri"/>
        <family val="2"/>
        <scheme val="minor"/>
      </rPr>
      <t>""</t>
    </r>
    <r>
      <rPr>
        <b/>
        <sz val="11"/>
        <color theme="1"/>
        <rFont val="Calibri"/>
        <family val="2"/>
        <scheme val="minor"/>
      </rPr>
      <t>)</t>
    </r>
  </si>
  <si>
    <r>
      <t xml:space="preserve">A huge benefit of </t>
    </r>
    <r>
      <rPr>
        <b/>
        <sz val="11"/>
        <color theme="1"/>
        <rFont val="Calibri"/>
        <family val="2"/>
        <scheme val="minor"/>
      </rPr>
      <t xml:space="preserve">Xlookup </t>
    </r>
    <r>
      <rPr>
        <sz val="11"/>
        <color theme="1"/>
        <rFont val="Calibri"/>
        <family val="2"/>
        <scheme val="minor"/>
      </rPr>
      <t xml:space="preserve">instead of </t>
    </r>
    <r>
      <rPr>
        <b/>
        <sz val="11"/>
        <color theme="1"/>
        <rFont val="Calibri"/>
        <family val="2"/>
        <scheme val="minor"/>
      </rPr>
      <t xml:space="preserve">Vlookup or Hlookup is that XLookup can handle errors </t>
    </r>
    <r>
      <rPr>
        <sz val="11"/>
        <color theme="1"/>
        <rFont val="Calibri"/>
        <family val="2"/>
        <scheme val="minor"/>
      </rPr>
      <t>without nesting inside an IFERROR.</t>
    </r>
  </si>
  <si>
    <r>
      <t>=VLOOKUP(</t>
    </r>
    <r>
      <rPr>
        <b/>
        <sz val="11"/>
        <color theme="5"/>
        <rFont val="Calibri"/>
        <family val="2"/>
        <scheme val="minor"/>
      </rPr>
      <t>C146</t>
    </r>
    <r>
      <rPr>
        <b/>
        <sz val="11"/>
        <color theme="1"/>
        <rFont val="Calibri"/>
        <family val="2"/>
        <scheme val="minor"/>
      </rPr>
      <t>,</t>
    </r>
    <r>
      <rPr>
        <b/>
        <sz val="11"/>
        <color theme="8"/>
        <rFont val="Calibri"/>
        <family val="2"/>
        <scheme val="minor"/>
      </rPr>
      <t>$B$138:$C$144</t>
    </r>
    <r>
      <rPr>
        <b/>
        <sz val="11"/>
        <color theme="1"/>
        <rFont val="Calibri"/>
        <family val="2"/>
        <scheme val="minor"/>
      </rPr>
      <t>,</t>
    </r>
    <r>
      <rPr>
        <b/>
        <sz val="11"/>
        <color rgb="FF00B050"/>
        <rFont val="Calibri"/>
        <family val="2"/>
        <scheme val="minor"/>
      </rPr>
      <t>2</t>
    </r>
    <r>
      <rPr>
        <b/>
        <sz val="11"/>
        <color theme="1"/>
        <rFont val="Calibri"/>
        <family val="2"/>
        <scheme val="minor"/>
      </rPr>
      <t>,</t>
    </r>
    <r>
      <rPr>
        <b/>
        <sz val="11"/>
        <color rgb="FFFF0000"/>
        <rFont val="Calibri"/>
        <family val="2"/>
        <scheme val="minor"/>
      </rPr>
      <t>FALSE</t>
    </r>
    <r>
      <rPr>
        <b/>
        <sz val="11"/>
        <color theme="1"/>
        <rFont val="Calibri"/>
        <family val="2"/>
        <scheme val="minor"/>
      </rPr>
      <t>)</t>
    </r>
  </si>
  <si>
    <r>
      <t>=XLOOKUP(</t>
    </r>
    <r>
      <rPr>
        <b/>
        <sz val="11"/>
        <color theme="5"/>
        <rFont val="Calibri"/>
        <family val="2"/>
        <scheme val="minor"/>
      </rPr>
      <t>C146</t>
    </r>
    <r>
      <rPr>
        <b/>
        <sz val="11"/>
        <color theme="1"/>
        <rFont val="Calibri"/>
        <family val="2"/>
        <scheme val="minor"/>
      </rPr>
      <t>,</t>
    </r>
    <r>
      <rPr>
        <b/>
        <sz val="11"/>
        <color rgb="FF7030A0"/>
        <rFont val="Calibri"/>
        <family val="2"/>
        <scheme val="minor"/>
      </rPr>
      <t>$B$138:$B$144</t>
    </r>
    <r>
      <rPr>
        <b/>
        <sz val="11"/>
        <color theme="1"/>
        <rFont val="Calibri"/>
        <family val="2"/>
        <scheme val="minor"/>
      </rPr>
      <t>,</t>
    </r>
    <r>
      <rPr>
        <b/>
        <sz val="11"/>
        <color rgb="FF00B050"/>
        <rFont val="Calibri"/>
        <family val="2"/>
        <scheme val="minor"/>
      </rPr>
      <t>$C$138:$C$144</t>
    </r>
    <r>
      <rPr>
        <b/>
        <sz val="11"/>
        <color theme="1"/>
        <rFont val="Calibri"/>
        <family val="2"/>
        <scheme val="minor"/>
      </rPr>
      <t>,</t>
    </r>
    <r>
      <rPr>
        <b/>
        <sz val="11"/>
        <color rgb="FFCC66FF"/>
        <rFont val="Calibri"/>
        <family val="2"/>
        <scheme val="minor"/>
      </rPr>
      <t>"???"</t>
    </r>
    <r>
      <rPr>
        <b/>
        <sz val="11"/>
        <color theme="1"/>
        <rFont val="Calibri"/>
        <family val="2"/>
        <scheme val="minor"/>
      </rPr>
      <t>,0)</t>
    </r>
  </si>
  <si>
    <r>
      <t>=INDEX(</t>
    </r>
    <r>
      <rPr>
        <b/>
        <sz val="11"/>
        <color theme="8"/>
        <rFont val="Calibri"/>
        <family val="2"/>
        <scheme val="minor"/>
      </rPr>
      <t>$B$138:$C$144</t>
    </r>
    <r>
      <rPr>
        <b/>
        <sz val="11"/>
        <color theme="1"/>
        <rFont val="Calibri"/>
        <family val="2"/>
        <scheme val="minor"/>
      </rPr>
      <t>,MATCH(</t>
    </r>
    <r>
      <rPr>
        <b/>
        <sz val="11"/>
        <color theme="5"/>
        <rFont val="Calibri"/>
        <family val="2"/>
        <scheme val="minor"/>
      </rPr>
      <t>C146</t>
    </r>
    <r>
      <rPr>
        <b/>
        <sz val="11"/>
        <color theme="1"/>
        <rFont val="Calibri"/>
        <family val="2"/>
        <scheme val="minor"/>
      </rPr>
      <t>,</t>
    </r>
    <r>
      <rPr>
        <b/>
        <sz val="11"/>
        <color rgb="FF7030A0"/>
        <rFont val="Calibri"/>
        <family val="2"/>
        <scheme val="minor"/>
      </rPr>
      <t>$B$138:$B$144</t>
    </r>
    <r>
      <rPr>
        <b/>
        <sz val="11"/>
        <color theme="1"/>
        <rFont val="Calibri"/>
        <family val="2"/>
        <scheme val="minor"/>
      </rPr>
      <t>,</t>
    </r>
    <r>
      <rPr>
        <b/>
        <sz val="11"/>
        <color rgb="FFFF0000"/>
        <rFont val="Calibri"/>
        <family val="2"/>
        <scheme val="minor"/>
      </rPr>
      <t>0</t>
    </r>
    <r>
      <rPr>
        <b/>
        <sz val="11"/>
        <color theme="1"/>
        <rFont val="Calibri"/>
        <family val="2"/>
        <scheme val="minor"/>
      </rPr>
      <t>),</t>
    </r>
    <r>
      <rPr>
        <b/>
        <sz val="11"/>
        <color rgb="FF00B050"/>
        <rFont val="Calibri"/>
        <family val="2"/>
        <scheme val="minor"/>
      </rPr>
      <t>2</t>
    </r>
    <r>
      <rPr>
        <b/>
        <sz val="11"/>
        <color theme="1"/>
        <rFont val="Calibri"/>
        <family val="2"/>
        <scheme val="minor"/>
      </rPr>
      <t>)</t>
    </r>
  </si>
  <si>
    <t>C146</t>
  </si>
  <si>
    <t>$B$138:$C$144</t>
  </si>
  <si>
    <t>$B$138:$B$144</t>
  </si>
  <si>
    <t>$C$138:$C$144 or 2</t>
  </si>
  <si>
    <t>(On research leave from July 2026 to June 2027)</t>
  </si>
  <si>
    <r>
      <rPr>
        <b/>
        <sz val="11"/>
        <color theme="1"/>
        <rFont val="Calibri"/>
        <family val="2"/>
        <scheme val="minor"/>
      </rPr>
      <t>IF</t>
    </r>
    <r>
      <rPr>
        <sz val="11"/>
        <color theme="1"/>
        <rFont val="Calibri"/>
        <family val="2"/>
        <scheme val="minor"/>
      </rPr>
      <t xml:space="preserve"> and </t>
    </r>
    <r>
      <rPr>
        <b/>
        <sz val="11"/>
        <color theme="1"/>
        <rFont val="Calibri"/>
        <family val="2"/>
        <scheme val="minor"/>
      </rPr>
      <t xml:space="preserve">IFS </t>
    </r>
    <r>
      <rPr>
        <sz val="11"/>
        <color theme="1"/>
        <rFont val="Calibri"/>
        <family val="2"/>
        <scheme val="minor"/>
      </rPr>
      <t>which lets you return what you want according to a criteria.</t>
    </r>
  </si>
  <si>
    <r>
      <t xml:space="preserve">The </t>
    </r>
    <r>
      <rPr>
        <b/>
        <sz val="11"/>
        <color theme="1"/>
        <rFont val="Calibri"/>
        <family val="2"/>
        <scheme val="minor"/>
      </rPr>
      <t>IFS</t>
    </r>
    <r>
      <rPr>
        <sz val="11"/>
        <color theme="1"/>
        <rFont val="Calibri"/>
        <family val="2"/>
        <scheme val="minor"/>
      </rPr>
      <t xml:space="preserve"> formula takes a criteria, than it needs to know what to return if that criteria is true.</t>
    </r>
  </si>
  <si>
    <t>Rinse and repeat for all your criteria. It stops its work once it finds that something is true.</t>
  </si>
  <si>
    <t>=IF(D45&gt;=5,"I AM CONCERNED", "NOTHING TO SEE HERE")</t>
  </si>
  <si>
    <t>=IF(D57&gt;=$C$54,"I AM CONCERNED", "Nothing to see here")</t>
  </si>
  <si>
    <t>=AND(D70&gt;=$C$67,F70&lt;=$F$67)</t>
  </si>
  <si>
    <t>=OR(D83&gt;=$C$80,F83&lt;=$F$80)</t>
  </si>
  <si>
    <t>=IF(AND(D96&gt;=$C$93,F96&lt;=$F$93),"I AM CONCERNED","This is fine!")</t>
  </si>
  <si>
    <t>IFS</t>
  </si>
  <si>
    <t>Scariness criteria 1</t>
  </si>
  <si>
    <t>Criteria 2</t>
  </si>
  <si>
    <t>=IFS(D109&gt;=$C$106,"VERY SCARY",D109&gt;=$F$106,"Sort of scary", TRUE, "This is fine!")</t>
  </si>
  <si>
    <t>B2 OR, AND, IF, and IFS</t>
  </si>
  <si>
    <t>IFS exercise</t>
  </si>
  <si>
    <t>You are worried about the various threats that surround you at all times and find natural threats particularly scary</t>
  </si>
  <si>
    <t>Use the IFS formula to identify any threat that is natural in nature as "SO SCARY".</t>
  </si>
  <si>
    <t>Identify any other threat of 6 or more as "ALSO SCARY".</t>
  </si>
  <si>
    <t>SO SCARY</t>
  </si>
  <si>
    <t>Condition</t>
  </si>
  <si>
    <t>Value</t>
  </si>
  <si>
    <t>Result</t>
  </si>
  <si>
    <t>ALSO SCARY</t>
  </si>
  <si>
    <t>Anything else</t>
  </si>
  <si>
    <t>This is fine!</t>
  </si>
  <si>
    <t>And anything else as "This is fine!".</t>
  </si>
  <si>
    <t>As the last two arguments, you can put in TRUE followed by what the IFS formula should return if nothing else in the list of conditions was true.</t>
  </si>
  <si>
    <t>If nature of threat is..</t>
  </si>
  <si>
    <t>Table of worries by criteria</t>
  </si>
  <si>
    <t>How scary is this?</t>
  </si>
  <si>
    <t>Scariness equal to or more than</t>
  </si>
  <si>
    <t>Try using find/replace (see A5) and matching the whole cell content to find spaces and replacing them with nothing.</t>
  </si>
  <si>
    <t>Table with values to look up and extra magic underneath</t>
  </si>
  <si>
    <t>Your table with values to find with only categories that exist for a given grocery item</t>
  </si>
  <si>
    <t>Category by selection</t>
  </si>
  <si>
    <t>Demo: Fun with codes</t>
  </si>
  <si>
    <t>Demo: People and comments</t>
  </si>
  <si>
    <t>Demo - Fun with codes</t>
  </si>
  <si>
    <t>Use during workshops for the instructor to demonstrate Flash Fill. Ignore if learning on your own!</t>
  </si>
  <si>
    <t>Code</t>
  </si>
  <si>
    <t>Start</t>
  </si>
  <si>
    <t>End digits</t>
  </si>
  <si>
    <t>Middle</t>
  </si>
  <si>
    <r>
      <rPr>
        <b/>
        <sz val="11"/>
        <color theme="4" tint="-0.249977111117893"/>
        <rFont val="Calibri"/>
        <family val="2"/>
        <scheme val="minor"/>
      </rPr>
      <t>2021</t>
    </r>
    <r>
      <rPr>
        <sz val="11"/>
        <color theme="1"/>
        <rFont val="Calibri"/>
        <family val="2"/>
        <scheme val="minor"/>
      </rPr>
      <t>S050</t>
    </r>
    <r>
      <rPr>
        <b/>
        <sz val="11"/>
        <color rgb="FFED0000"/>
        <rFont val="Calibri"/>
        <family val="2"/>
        <scheme val="minor"/>
      </rPr>
      <t>7932</t>
    </r>
    <r>
      <rPr>
        <b/>
        <sz val="11"/>
        <color theme="7" tint="-0.249977111117893"/>
        <rFont val="Calibri"/>
        <family val="2"/>
        <scheme val="minor"/>
      </rPr>
      <t>0001.00</t>
    </r>
  </si>
  <si>
    <t>2021S05079320002.00</t>
  </si>
  <si>
    <t>2021S05079320003.00</t>
  </si>
  <si>
    <t>2021S05079320004.00</t>
  </si>
  <si>
    <t>2021S05079320005.01</t>
  </si>
  <si>
    <t>2021S05079320005.02</t>
  </si>
  <si>
    <t>2021S05079300021.00</t>
  </si>
  <si>
    <t>2021S05079300022.00</t>
  </si>
  <si>
    <t>2021S05079300023.01</t>
  </si>
  <si>
    <t>2021S05079300023.02</t>
  </si>
  <si>
    <t>2021S05078350054.01</t>
  </si>
  <si>
    <t>2021S05078350054.02</t>
  </si>
  <si>
    <t>2021S05078350054.03</t>
  </si>
  <si>
    <t>2021S05078350055.00</t>
  </si>
  <si>
    <t>2021S05078350056.00</t>
  </si>
  <si>
    <t>2021S05078350057.00</t>
  </si>
  <si>
    <t>2021S05078350058.00</t>
  </si>
  <si>
    <t>2021S05078350059.00</t>
  </si>
  <si>
    <t>2021S05078350060.01</t>
  </si>
  <si>
    <t>2021S05078350060.02</t>
  </si>
  <si>
    <t>2021S05078350061.00</t>
  </si>
  <si>
    <t>2021S05078350062.01</t>
  </si>
  <si>
    <t>2021S05078350062.02</t>
  </si>
  <si>
    <t>2021S05078350063.00</t>
  </si>
  <si>
    <t>2021S05078350064.01</t>
  </si>
  <si>
    <t>2021S05078350064.02</t>
  </si>
  <si>
    <t>2021S05078350065.01</t>
  </si>
  <si>
    <t>2021S05078350065.02</t>
  </si>
  <si>
    <t>2021S05078350065.03</t>
  </si>
  <si>
    <t>2021S05078350066.01</t>
  </si>
  <si>
    <t>2021S05078350066.02</t>
  </si>
  <si>
    <t>2021S05078350067.01</t>
  </si>
  <si>
    <t>2021S05078350067.02</t>
  </si>
  <si>
    <t>2021S05078350068.01</t>
  </si>
  <si>
    <t>2021S05078350068.02</t>
  </si>
  <si>
    <t>2021S05078350069.00</t>
  </si>
  <si>
    <t>2021S05078350070.00</t>
  </si>
  <si>
    <t>2021S05078350071.00</t>
  </si>
  <si>
    <t>2021S05078350072.00</t>
  </si>
  <si>
    <t>2021S05078350073.00</t>
  </si>
  <si>
    <t>2021S05078350074.00</t>
  </si>
  <si>
    <t>2021S05078350075.01</t>
  </si>
  <si>
    <t>2021S05078350075.02</t>
  </si>
  <si>
    <t>2021S05078350075.03</t>
  </si>
  <si>
    <t>2021S05078350075.04</t>
  </si>
  <si>
    <t>2021S05078350075.05</t>
  </si>
  <si>
    <t>Demo - People and comments</t>
  </si>
  <si>
    <t>People</t>
  </si>
  <si>
    <t>Comment</t>
  </si>
  <si>
    <t>Score</t>
  </si>
  <si>
    <r>
      <rPr>
        <b/>
        <sz val="11"/>
        <color theme="7"/>
        <rFont val="Calibri"/>
        <family val="2"/>
        <scheme val="minor"/>
      </rPr>
      <t>People</t>
    </r>
    <r>
      <rPr>
        <b/>
        <sz val="11"/>
        <color theme="1"/>
        <rFont val="Calibri"/>
        <family val="2"/>
        <scheme val="minor"/>
      </rPr>
      <t xml:space="preserve"> and </t>
    </r>
    <r>
      <rPr>
        <b/>
        <sz val="11"/>
        <color rgb="FFED0000"/>
        <rFont val="Calibri"/>
        <family val="2"/>
        <scheme val="minor"/>
      </rPr>
      <t>comment</t>
    </r>
  </si>
  <si>
    <r>
      <rPr>
        <b/>
        <sz val="11"/>
        <color theme="7"/>
        <rFont val="Calibri"/>
        <family val="2"/>
        <scheme val="minor"/>
      </rPr>
      <t>People</t>
    </r>
    <r>
      <rPr>
        <b/>
        <sz val="11"/>
        <color theme="1"/>
        <rFont val="Calibri"/>
        <family val="2"/>
        <scheme val="minor"/>
      </rPr>
      <t xml:space="preserve"> and </t>
    </r>
    <r>
      <rPr>
        <b/>
        <sz val="11"/>
        <color rgb="FF0070C0"/>
        <rFont val="Calibri"/>
        <family val="2"/>
        <scheme val="minor"/>
      </rPr>
      <t>score</t>
    </r>
  </si>
  <si>
    <t>Julie</t>
  </si>
  <si>
    <t>is awesome</t>
  </si>
  <si>
    <t>You</t>
  </si>
  <si>
    <t>are also awesome</t>
  </si>
  <si>
    <t>Everyone</t>
  </si>
  <si>
    <t>is doing great!</t>
  </si>
  <si>
    <t>Canadians</t>
  </si>
  <si>
    <t>are super cool!</t>
  </si>
  <si>
    <t>People from other countries</t>
  </si>
  <si>
    <t>are also super cool!</t>
  </si>
  <si>
    <t>People that like chocolate</t>
  </si>
  <si>
    <t>are sane.</t>
  </si>
  <si>
    <t>People that don't like chocolate</t>
  </si>
  <si>
    <t>are entitled to their opinions, I guess.</t>
  </si>
  <si>
    <t>Demo: A magical dropdown</t>
  </si>
  <si>
    <t>Unique grocery items</t>
  </si>
  <si>
    <t>List of categories that updates itself based on selection in F159</t>
  </si>
  <si>
    <t>Look at the category by selection column in the list of categories that updates itself based on selection in F164.</t>
  </si>
  <si>
    <t>Then click on cell G164 and go to the data ribbon - data tools section - data validation.</t>
  </si>
  <si>
    <t>This section is used for a demo during workshops and can be ignored if you are learning on your own.</t>
  </si>
  <si>
    <t>Last updated June 9,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</si>
</sst>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_$"/>
    <numFmt numFmtId="165" formatCode="#,##0.00\ &quot;$&quot;"/>
    <numFmt numFmtId="166" formatCode="&quot;$&quot;#,##0.00"/>
    <numFmt numFmtId="167" formatCode="[$-409]d\-mmm\-yyyy;@"/>
  </numFmts>
  <fonts count="63"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1"/>
      <color theme="6"/>
      <name val="Calibri"/>
      <family val="2"/>
      <scheme val="minor"/>
    </font>
    <font>
      <sz val="11"/>
      <color theme="5" tint="-0.249977111117893"/>
      <name val="Calibri"/>
      <family val="2"/>
      <scheme val="minor"/>
    </font>
    <font>
      <sz val="11"/>
      <color rgb="FF0070C0"/>
      <name val="Calibri"/>
      <family val="2"/>
      <scheme val="minor"/>
    </font>
    <font>
      <i/>
      <sz val="11"/>
      <color theme="1"/>
      <name val="Calibri"/>
      <family val="2"/>
      <scheme val="minor"/>
    </font>
    <font>
      <sz val="11"/>
      <color theme="6" tint="0.79998168889431442"/>
      <name val="Calibri"/>
      <family val="2"/>
      <scheme val="minor"/>
    </font>
    <font>
      <b/>
      <sz val="11"/>
      <name val="Calibri"/>
      <family val="2"/>
      <scheme val="minor"/>
    </font>
    <font>
      <sz val="11"/>
      <color theme="3" tint="0.39997558519241921"/>
      <name val="Calibri"/>
      <family val="2"/>
      <scheme val="minor"/>
    </font>
    <font>
      <sz val="11"/>
      <color theme="6" tint="-0.249977111117893"/>
      <name val="Calibri"/>
      <family val="2"/>
      <scheme val="minor"/>
    </font>
    <font>
      <sz val="11"/>
      <color theme="0"/>
      <name val="Calibri"/>
      <family val="2"/>
      <scheme val="minor"/>
    </font>
    <font>
      <sz val="11"/>
      <color theme="9" tint="-0.249977111117893"/>
      <name val="Calibri"/>
      <family val="2"/>
      <scheme val="minor"/>
    </font>
    <font>
      <sz val="11"/>
      <name val="Calibri"/>
      <family val="2"/>
      <scheme val="minor"/>
    </font>
    <font>
      <sz val="10"/>
      <color rgb="FF3E3E3E"/>
      <name val="Tahoma"/>
      <family val="2"/>
    </font>
    <font>
      <u/>
      <sz val="11"/>
      <color theme="10"/>
      <name val="Calibri"/>
      <family val="2"/>
      <scheme val="minor"/>
    </font>
    <font>
      <b/>
      <sz val="16"/>
      <color theme="1"/>
      <name val="Calibri"/>
      <family val="2"/>
      <scheme val="minor"/>
    </font>
    <font>
      <sz val="11"/>
      <color theme="7" tint="-0.249977111117893"/>
      <name val="Calibri"/>
      <family val="2"/>
      <scheme val="minor"/>
    </font>
    <font>
      <sz val="11"/>
      <color theme="7" tint="-0.499984740745262"/>
      <name val="Calibri"/>
      <family val="2"/>
      <scheme val="minor"/>
    </font>
    <font>
      <sz val="11"/>
      <color theme="1"/>
      <name val="Calibri"/>
      <family val="2"/>
    </font>
    <font>
      <sz val="11"/>
      <color rgb="FF002060"/>
      <name val="Calibri"/>
      <family val="2"/>
      <scheme val="minor"/>
    </font>
    <font>
      <sz val="10"/>
      <color theme="1"/>
      <name val="Tahoma"/>
      <family val="2"/>
    </font>
    <font>
      <sz val="11"/>
      <color theme="6" tint="-0.499984740745262"/>
      <name val="Calibri"/>
      <family val="2"/>
      <scheme val="minor"/>
    </font>
    <font>
      <sz val="11"/>
      <color theme="5" tint="-0.499984740745262"/>
      <name val="Calibri"/>
      <family val="2"/>
      <scheme val="minor"/>
    </font>
    <font>
      <sz val="18"/>
      <color theme="3"/>
      <name val="Cambria"/>
      <family val="2"/>
      <scheme val="major"/>
    </font>
    <font>
      <b/>
      <sz val="11"/>
      <color theme="0"/>
      <name val="Calibri"/>
      <family val="2"/>
      <scheme val="minor"/>
    </font>
    <font>
      <b/>
      <sz val="14"/>
      <name val="Calibri"/>
      <family val="2"/>
      <scheme val="minor"/>
    </font>
    <font>
      <sz val="11"/>
      <color theme="1"/>
      <name val="Calibri"/>
      <family val="2"/>
      <scheme val="minor"/>
    </font>
    <font>
      <b/>
      <sz val="22"/>
      <name val="Cambria"/>
      <family val="1"/>
      <scheme val="major"/>
    </font>
    <font>
      <b/>
      <sz val="12"/>
      <color theme="1"/>
      <name val="Calibri"/>
      <family val="2"/>
      <scheme val="minor"/>
    </font>
    <font>
      <sz val="14"/>
      <color theme="0"/>
      <name val="Calibri"/>
      <family val="2"/>
      <scheme val="minor"/>
    </font>
    <font>
      <sz val="8"/>
      <name val="Calibri"/>
      <family val="2"/>
      <scheme val="minor"/>
    </font>
    <font>
      <sz val="11"/>
      <color rgb="FFFF0000"/>
      <name val="Calibri"/>
      <family val="2"/>
      <scheme val="minor"/>
    </font>
    <font>
      <b/>
      <sz val="10"/>
      <color theme="0"/>
      <name val="Calibri"/>
      <family val="2"/>
      <scheme val="minor"/>
    </font>
    <font>
      <b/>
      <sz val="12"/>
      <name val="Calibri"/>
      <family val="2"/>
      <scheme val="minor"/>
    </font>
    <font>
      <b/>
      <sz val="11"/>
      <color theme="3"/>
      <name val="Calibri"/>
      <family val="2"/>
      <scheme val="minor"/>
    </font>
    <font>
      <b/>
      <sz val="14"/>
      <color theme="0"/>
      <name val="Calibri"/>
      <family val="2"/>
      <scheme val="minor"/>
    </font>
    <font>
      <sz val="11"/>
      <color theme="9" tint="-0.24994659260841701"/>
      <name val="Calibri"/>
      <family val="2"/>
      <scheme val="minor"/>
    </font>
    <font>
      <sz val="11"/>
      <color theme="5" tint="-0.24994659260841701"/>
      <name val="Calibri"/>
      <family val="2"/>
      <scheme val="minor"/>
    </font>
    <font>
      <b/>
      <sz val="11"/>
      <color theme="5"/>
      <name val="Calibri"/>
      <family val="2"/>
      <scheme val="minor"/>
    </font>
    <font>
      <b/>
      <sz val="11"/>
      <color rgb="FF00B0F0"/>
      <name val="Calibri"/>
      <family val="2"/>
      <scheme val="minor"/>
    </font>
    <font>
      <b/>
      <sz val="11"/>
      <color rgb="FF00B050"/>
      <name val="Calibri"/>
      <family val="2"/>
      <scheme val="minor"/>
    </font>
    <font>
      <b/>
      <sz val="11"/>
      <color theme="6" tint="-0.249977111117893"/>
      <name val="Calibri"/>
      <family val="2"/>
      <scheme val="minor"/>
    </font>
    <font>
      <b/>
      <sz val="11"/>
      <color theme="6" tint="-0.499984740745262"/>
      <name val="Calibri"/>
      <family val="2"/>
      <scheme val="minor"/>
    </font>
    <font>
      <b/>
      <sz val="11"/>
      <color theme="1"/>
      <name val="Calibri"/>
      <family val="2"/>
    </font>
    <font>
      <b/>
      <sz val="11"/>
      <color theme="7" tint="-0.249977111117893"/>
      <name val="Calibri"/>
      <family val="2"/>
      <scheme val="minor"/>
    </font>
    <font>
      <b/>
      <sz val="11"/>
      <color rgb="FF7030A0"/>
      <name val="Calibri"/>
      <family val="2"/>
      <scheme val="minor"/>
    </font>
    <font>
      <b/>
      <sz val="11"/>
      <color theme="9" tint="-0.249977111117893"/>
      <name val="Calibri"/>
      <family val="2"/>
      <scheme val="minor"/>
    </font>
    <font>
      <b/>
      <sz val="11"/>
      <color theme="3" tint="0.39997558519241921"/>
      <name val="Calibri"/>
      <family val="2"/>
      <scheme val="minor"/>
    </font>
    <font>
      <b/>
      <sz val="11"/>
      <color theme="8"/>
      <name val="Calibri"/>
      <family val="2"/>
      <scheme val="minor"/>
    </font>
    <font>
      <b/>
      <sz val="11"/>
      <color rgb="FFFF0000"/>
      <name val="Calibri"/>
      <family val="2"/>
      <scheme val="minor"/>
    </font>
    <font>
      <sz val="11"/>
      <color theme="1"/>
      <name val="Aptos Narrow"/>
      <family val="2"/>
    </font>
    <font>
      <i/>
      <sz val="11"/>
      <name val="Calibri"/>
      <family val="2"/>
      <scheme val="minor"/>
    </font>
    <font>
      <b/>
      <i/>
      <sz val="11"/>
      <name val="Calibri"/>
      <family val="2"/>
      <scheme val="minor"/>
    </font>
    <font>
      <sz val="10"/>
      <color theme="1"/>
      <name val="Calibri"/>
      <family val="2"/>
      <scheme val="minor"/>
    </font>
    <font>
      <b/>
      <sz val="11"/>
      <color rgb="FF0070C0"/>
      <name val="Calibri"/>
      <family val="2"/>
      <scheme val="minor"/>
    </font>
    <font>
      <b/>
      <sz val="11"/>
      <color rgb="FFCC66FF"/>
      <name val="Calibri"/>
      <family val="2"/>
      <scheme val="minor"/>
    </font>
    <font>
      <b/>
      <sz val="11"/>
      <color rgb="FFED7D31"/>
      <name val="Calibri"/>
      <family val="2"/>
      <scheme val="minor"/>
    </font>
    <font>
      <sz val="11"/>
      <color theme="4" tint="-0.249977111117893"/>
      <name val="Calibri"/>
      <family val="2"/>
      <scheme val="minor"/>
    </font>
    <font>
      <b/>
      <sz val="11"/>
      <color rgb="FFED0000"/>
      <name val="Calibri"/>
      <family val="2"/>
      <scheme val="minor"/>
    </font>
    <font>
      <b/>
      <sz val="11"/>
      <color theme="4" tint="-0.249977111117893"/>
      <name val="Calibri"/>
      <family val="2"/>
      <scheme val="minor"/>
    </font>
    <font>
      <b/>
      <sz val="11"/>
      <color theme="7"/>
      <name val="Calibri"/>
      <family val="2"/>
      <scheme val="minor"/>
    </font>
  </fonts>
  <fills count="19">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A5A5A5"/>
      </patternFill>
    </fill>
    <fill>
      <patternFill patternType="solid">
        <fgColor theme="0"/>
        <bgColor indexed="64"/>
      </patternFill>
    </fill>
    <fill>
      <patternFill patternType="solid">
        <fgColor theme="7" tint="0.59999389629810485"/>
        <bgColor indexed="64"/>
      </patternFill>
    </fill>
    <fill>
      <patternFill patternType="solid">
        <fgColor rgb="FFEAEAEA"/>
        <bgColor indexed="64"/>
      </patternFill>
    </fill>
    <fill>
      <patternFill patternType="darkGray">
        <fgColor rgb="FF00B0F0"/>
        <bgColor auto="1"/>
      </patternFill>
    </fill>
    <fill>
      <patternFill patternType="solid">
        <fgColor theme="8" tint="0.79998168889431442"/>
        <bgColor indexed="65"/>
      </patternFill>
    </fill>
    <fill>
      <patternFill patternType="solid">
        <fgColor rgb="FFFF0000"/>
        <bgColor indexed="64"/>
      </patternFill>
    </fill>
    <fill>
      <patternFill patternType="solid">
        <fgColor theme="5" tint="0.79998168889431442"/>
        <bgColor indexed="64"/>
      </patternFill>
    </fill>
    <fill>
      <patternFill patternType="solid">
        <fgColor rgb="FF90F478"/>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7" tint="0.39997558519241921"/>
        <bgColor indexed="64"/>
      </patternFill>
    </fill>
  </fills>
  <borders count="10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3F3F3F"/>
      </right>
      <top/>
      <bottom style="thin">
        <color rgb="FF3F3F3F"/>
      </bottom>
      <diagonal/>
    </border>
    <border>
      <left/>
      <right style="thin">
        <color theme="0" tint="-0.499984740745262"/>
      </right>
      <top/>
      <bottom/>
      <diagonal/>
    </border>
    <border>
      <left/>
      <right/>
      <top/>
      <bottom style="thin">
        <color theme="0" tint="-0.499984740745262"/>
      </bottom>
      <diagonal/>
    </border>
    <border>
      <left style="thin">
        <color rgb="FF3F3F3F"/>
      </left>
      <right style="thin">
        <color rgb="FF3F3F3F"/>
      </right>
      <top/>
      <bottom style="thin">
        <color rgb="FF3F3F3F"/>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0" tint="-0.499984740745262"/>
      </left>
      <right/>
      <top/>
      <bottom/>
      <diagonal/>
    </border>
    <border>
      <left/>
      <right style="thin">
        <color rgb="FFEAEAEA"/>
      </right>
      <top/>
      <bottom style="thin">
        <color theme="0" tint="-0.499984740745262"/>
      </bottom>
      <diagonal/>
    </border>
    <border>
      <left/>
      <right style="thin">
        <color rgb="FFEAEAEA"/>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0" tint="-0.499984740745262"/>
      </left>
      <right/>
      <top style="thin">
        <color theme="0" tint="-0.499984740745262"/>
      </top>
      <bottom style="thin">
        <color theme="1"/>
      </bottom>
      <diagonal/>
    </border>
    <border>
      <left/>
      <right/>
      <top style="thin">
        <color theme="0" tint="-0.499984740745262"/>
      </top>
      <bottom style="thin">
        <color theme="1"/>
      </bottom>
      <diagonal/>
    </border>
    <border>
      <left/>
      <right style="thin">
        <color theme="1"/>
      </right>
      <top style="thin">
        <color theme="0" tint="-0.499984740745262"/>
      </top>
      <bottom style="thin">
        <color theme="1"/>
      </bottom>
      <diagonal/>
    </border>
    <border>
      <left style="thin">
        <color theme="1"/>
      </left>
      <right style="thin">
        <color theme="0" tint="-0.499984740745262"/>
      </right>
      <top style="thin">
        <color auto="1"/>
      </top>
      <bottom/>
      <diagonal/>
    </border>
    <border>
      <left style="thin">
        <color theme="0" tint="-0.499984740745262"/>
      </left>
      <right style="thin">
        <color theme="0" tint="-0.499984740745262"/>
      </right>
      <top style="thin">
        <color auto="1"/>
      </top>
      <bottom/>
      <diagonal/>
    </border>
    <border>
      <left style="thin">
        <color theme="0" tint="-0.499984740745262"/>
      </left>
      <right style="thin">
        <color theme="0" tint="-0.499984740745262"/>
      </right>
      <top/>
      <bottom style="thin">
        <color auto="1"/>
      </bottom>
      <diagonal/>
    </border>
    <border>
      <left style="thin">
        <color theme="0" tint="-0.499984740745262"/>
      </left>
      <right/>
      <top style="thin">
        <color auto="1"/>
      </top>
      <bottom/>
      <diagonal/>
    </border>
    <border>
      <left style="thin">
        <color theme="0" tint="-0.499984740745262"/>
      </left>
      <right/>
      <top style="thin">
        <color theme="1"/>
      </top>
      <bottom/>
      <diagonal/>
    </border>
    <border>
      <left style="thin">
        <color theme="0" tint="-0.499984740745262"/>
      </left>
      <right/>
      <top/>
      <bottom style="thin">
        <color theme="1"/>
      </bottom>
      <diagonal/>
    </border>
    <border>
      <left style="thin">
        <color theme="0" tint="-0.499984740745262"/>
      </left>
      <right style="thin">
        <color auto="1"/>
      </right>
      <top style="thin">
        <color auto="1"/>
      </top>
      <bottom/>
      <diagonal/>
    </border>
    <border>
      <left style="thin">
        <color theme="0" tint="-0.499984740745262"/>
      </left>
      <right style="thin">
        <color auto="1"/>
      </right>
      <top/>
      <bottom style="thin">
        <color auto="1"/>
      </bottom>
      <diagonal/>
    </border>
    <border>
      <left style="thin">
        <color auto="1"/>
      </left>
      <right style="thin">
        <color theme="0" tint="-0.499984740745262"/>
      </right>
      <top style="thin">
        <color auto="1"/>
      </top>
      <bottom/>
      <diagonal/>
    </border>
    <border>
      <left style="thin">
        <color auto="1"/>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auto="1"/>
      </right>
      <top/>
      <bottom/>
      <diagonal/>
    </border>
    <border>
      <left style="thin">
        <color auto="1"/>
      </left>
      <right style="thin">
        <color theme="0" tint="-0.499984740745262"/>
      </right>
      <top/>
      <bottom style="thin">
        <color auto="1"/>
      </bottom>
      <diagonal/>
    </border>
    <border>
      <left style="thin">
        <color theme="0" tint="-0.499984740745262"/>
      </left>
      <right/>
      <top style="thin">
        <color theme="0" tint="-0.499984740745262"/>
      </top>
      <bottom/>
      <diagonal/>
    </border>
    <border>
      <left style="thin">
        <color theme="0" tint="-0.499984740745262"/>
      </left>
      <right/>
      <top/>
      <bottom style="thin">
        <color auto="1"/>
      </bottom>
      <diagonal/>
    </border>
    <border>
      <left style="thin">
        <color theme="1"/>
      </left>
      <right style="thin">
        <color theme="0" tint="-0.499984740745262"/>
      </right>
      <top style="thin">
        <color theme="1"/>
      </top>
      <bottom/>
      <diagonal/>
    </border>
    <border>
      <left style="thin">
        <color theme="0" tint="-0.499984740745262"/>
      </left>
      <right style="thin">
        <color theme="0" tint="-0.499984740745262"/>
      </right>
      <top style="thin">
        <color theme="1"/>
      </top>
      <bottom/>
      <diagonal/>
    </border>
    <border>
      <left style="thin">
        <color theme="1"/>
      </left>
      <right style="thin">
        <color theme="0" tint="-0.499984740745262"/>
      </right>
      <top/>
      <bottom/>
      <diagonal/>
    </border>
    <border>
      <left style="thin">
        <color theme="1"/>
      </left>
      <right style="thin">
        <color theme="0" tint="-0.499984740745262"/>
      </right>
      <top/>
      <bottom style="thin">
        <color theme="1"/>
      </bottom>
      <diagonal/>
    </border>
    <border>
      <left style="thin">
        <color theme="0" tint="-0.499984740745262"/>
      </left>
      <right style="thin">
        <color theme="0" tint="-0.499984740745262"/>
      </right>
      <top/>
      <bottom style="thin">
        <color theme="1"/>
      </bottom>
      <diagonal/>
    </border>
    <border>
      <left style="thin">
        <color theme="0" tint="-0.499984740745262"/>
      </left>
      <right style="thin">
        <color auto="1"/>
      </right>
      <top style="thin">
        <color auto="1"/>
      </top>
      <bottom style="thin">
        <color auto="1"/>
      </bottom>
      <diagonal/>
    </border>
    <border>
      <left style="thin">
        <color theme="1"/>
      </left>
      <right style="thin">
        <color theme="0" tint="-0.34998626667073579"/>
      </right>
      <top style="thin">
        <color theme="1"/>
      </top>
      <bottom/>
      <diagonal/>
    </border>
    <border>
      <left style="thin">
        <color theme="0" tint="-0.34998626667073579"/>
      </left>
      <right style="thin">
        <color theme="0" tint="-0.34998626667073579"/>
      </right>
      <top style="thin">
        <color theme="1"/>
      </top>
      <bottom/>
      <diagonal/>
    </border>
    <border>
      <left style="thin">
        <color theme="0" tint="-0.34998626667073579"/>
      </left>
      <right style="thin">
        <color theme="1"/>
      </right>
      <top style="thin">
        <color theme="1"/>
      </top>
      <bottom/>
      <diagonal/>
    </border>
    <border>
      <left style="thin">
        <color theme="1"/>
      </left>
      <right style="thin">
        <color theme="0" tint="-0.34998626667073579"/>
      </right>
      <top/>
      <bottom style="thin">
        <color theme="1"/>
      </bottom>
      <diagonal/>
    </border>
    <border>
      <left style="thin">
        <color theme="0" tint="-0.34998626667073579"/>
      </left>
      <right style="thin">
        <color theme="0" tint="-0.34998626667073579"/>
      </right>
      <top/>
      <bottom style="thin">
        <color theme="1"/>
      </bottom>
      <diagonal/>
    </border>
    <border>
      <left style="thin">
        <color theme="0" tint="-0.34998626667073579"/>
      </left>
      <right style="thin">
        <color theme="1"/>
      </right>
      <top/>
      <bottom style="thin">
        <color theme="1"/>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right/>
      <top/>
      <bottom style="medium">
        <color theme="4" tint="0.3999755851924192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thin">
        <color theme="0" tint="-0.499984740745262"/>
      </right>
      <top/>
      <bottom style="thin">
        <color auto="1"/>
      </bottom>
      <diagonal/>
    </border>
    <border>
      <left/>
      <right style="thin">
        <color theme="0" tint="-0.499984740745262"/>
      </right>
      <top style="thin">
        <color auto="1"/>
      </top>
      <bottom/>
      <diagonal/>
    </border>
    <border>
      <left style="medium">
        <color theme="1"/>
      </left>
      <right style="medium">
        <color theme="1"/>
      </right>
      <top style="medium">
        <color theme="1"/>
      </top>
      <bottom style="medium">
        <color theme="1"/>
      </bottom>
      <diagonal/>
    </border>
    <border>
      <left style="thin">
        <color theme="1"/>
      </left>
      <right/>
      <top style="thin">
        <color auto="1"/>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theme="1"/>
      </left>
      <right style="thin">
        <color theme="1"/>
      </right>
      <top style="thin">
        <color theme="1"/>
      </top>
      <bottom style="thin">
        <color theme="1"/>
      </bottom>
      <diagonal/>
    </border>
  </borders>
  <cellStyleXfs count="7">
    <xf numFmtId="0" fontId="0" fillId="0" borderId="0"/>
    <xf numFmtId="0" fontId="16" fillId="0" borderId="0" applyNumberFormat="0" applyFill="0" applyBorder="0" applyAlignment="0" applyProtection="0"/>
    <xf numFmtId="0" fontId="25" fillId="0" borderId="0" applyNumberFormat="0" applyFill="0" applyBorder="0" applyAlignment="0" applyProtection="0"/>
    <xf numFmtId="0" fontId="26" fillId="7" borderId="21" applyNumberFormat="0" applyAlignment="0" applyProtection="0"/>
    <xf numFmtId="0" fontId="28" fillId="12" borderId="0" applyNumberFormat="0" applyBorder="0" applyAlignment="0" applyProtection="0"/>
    <xf numFmtId="44" fontId="28" fillId="0" borderId="0" applyFont="0" applyFill="0" applyBorder="0" applyAlignment="0" applyProtection="0"/>
    <xf numFmtId="0" fontId="36" fillId="0" borderId="87" applyNumberFormat="0" applyFill="0" applyAlignment="0" applyProtection="0"/>
  </cellStyleXfs>
  <cellXfs count="51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left"/>
    </xf>
    <xf numFmtId="0" fontId="0" fillId="0" borderId="0" xfId="0" quotePrefix="1"/>
    <xf numFmtId="0" fontId="0" fillId="0" borderId="0" xfId="0" applyAlignment="1">
      <alignment vertical="top" wrapText="1"/>
    </xf>
    <xf numFmtId="0" fontId="0" fillId="2" borderId="0" xfId="0" applyFill="1"/>
    <xf numFmtId="0" fontId="8" fillId="2" borderId="0" xfId="0" applyFont="1" applyFill="1"/>
    <xf numFmtId="0" fontId="1" fillId="2" borderId="0" xfId="0" applyFont="1" applyFill="1" applyAlignment="1">
      <alignment horizontal="left"/>
    </xf>
    <xf numFmtId="0" fontId="1" fillId="2" borderId="0" xfId="0" applyFont="1" applyFill="1"/>
    <xf numFmtId="0" fontId="0" fillId="0" borderId="0" xfId="0" applyAlignment="1">
      <alignment horizontal="right"/>
    </xf>
    <xf numFmtId="0" fontId="1" fillId="0" borderId="0" xfId="0" applyFont="1" applyAlignment="1">
      <alignment horizontal="right"/>
    </xf>
    <xf numFmtId="164" fontId="0" fillId="0" borderId="0" xfId="0" applyNumberFormat="1" applyAlignment="1">
      <alignment horizontal="left"/>
    </xf>
    <xf numFmtId="165" fontId="0" fillId="0" borderId="0" xfId="0" applyNumberFormat="1" applyAlignment="1">
      <alignment horizontal="left"/>
    </xf>
    <xf numFmtId="165" fontId="0" fillId="0" borderId="0" xfId="0" applyNumberFormat="1"/>
    <xf numFmtId="165" fontId="0" fillId="0" borderId="0" xfId="0" quotePrefix="1" applyNumberFormat="1" applyAlignment="1">
      <alignment horizontal="left"/>
    </xf>
    <xf numFmtId="0" fontId="0" fillId="0" borderId="0" xfId="0" quotePrefix="1" applyAlignment="1">
      <alignment horizontal="left"/>
    </xf>
    <xf numFmtId="0" fontId="15" fillId="0" borderId="0" xfId="0" applyFont="1" applyAlignment="1">
      <alignment horizontal="left" vertical="center" indent="3"/>
    </xf>
    <xf numFmtId="0" fontId="12" fillId="0" borderId="0" xfId="0" quotePrefix="1" applyFont="1"/>
    <xf numFmtId="0" fontId="14" fillId="0" borderId="0" xfId="0" applyFont="1"/>
    <xf numFmtId="0" fontId="9" fillId="0" borderId="0" xfId="0" applyFont="1"/>
    <xf numFmtId="0" fontId="0" fillId="0" borderId="0" xfId="0" applyAlignment="1">
      <alignment horizontal="center"/>
    </xf>
    <xf numFmtId="49" fontId="0" fillId="0" borderId="0" xfId="0" applyNumberFormat="1"/>
    <xf numFmtId="0" fontId="0" fillId="0" borderId="0" xfId="0" applyAlignment="1">
      <alignment wrapText="1"/>
    </xf>
    <xf numFmtId="0" fontId="20" fillId="0" borderId="9" xfId="0" applyFont="1" applyBorder="1" applyAlignment="1">
      <alignment textRotation="45" wrapText="1"/>
    </xf>
    <xf numFmtId="0" fontId="20" fillId="0" borderId="10" xfId="0" applyFont="1" applyBorder="1"/>
    <xf numFmtId="0" fontId="20" fillId="0" borderId="11" xfId="0" applyFont="1" applyBorder="1"/>
    <xf numFmtId="0" fontId="20" fillId="0" borderId="12" xfId="0" applyFont="1" applyBorder="1"/>
    <xf numFmtId="0" fontId="0" fillId="0" borderId="0" xfId="0" quotePrefix="1" applyAlignment="1">
      <alignment horizontal="left" wrapText="1"/>
    </xf>
    <xf numFmtId="0" fontId="1" fillId="4" borderId="0" xfId="0" applyFont="1" applyFill="1" applyAlignment="1">
      <alignment horizontal="right"/>
    </xf>
    <xf numFmtId="0" fontId="0" fillId="6" borderId="0" xfId="0" applyFill="1" applyAlignment="1">
      <alignment horizontal="center"/>
    </xf>
    <xf numFmtId="0" fontId="1" fillId="4" borderId="0" xfId="0" applyFont="1" applyFill="1" applyAlignment="1">
      <alignment horizontal="center"/>
    </xf>
    <xf numFmtId="0" fontId="1" fillId="6" borderId="0" xfId="0" applyFont="1" applyFill="1" applyAlignment="1">
      <alignment horizontal="center"/>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6" xfId="0" applyBorder="1"/>
    <xf numFmtId="0" fontId="0" fillId="0" borderId="17" xfId="0" applyBorder="1" applyAlignment="1">
      <alignment horizontal="left"/>
    </xf>
    <xf numFmtId="0" fontId="0" fillId="0" borderId="18" xfId="0" applyBorder="1"/>
    <xf numFmtId="0" fontId="0" fillId="0" borderId="19" xfId="0" applyBorder="1"/>
    <xf numFmtId="0" fontId="0" fillId="0" borderId="20" xfId="0" applyBorder="1" applyAlignment="1">
      <alignment horizontal="left"/>
    </xf>
    <xf numFmtId="0" fontId="3" fillId="2" borderId="0" xfId="0" applyFont="1" applyFill="1" applyAlignment="1">
      <alignment horizontal="left"/>
    </xf>
    <xf numFmtId="0" fontId="3" fillId="2" borderId="0" xfId="0" applyFont="1" applyFill="1"/>
    <xf numFmtId="0" fontId="1" fillId="0" borderId="15" xfId="0" applyFont="1" applyBorder="1" applyAlignment="1">
      <alignment horizontal="center" wrapText="1"/>
    </xf>
    <xf numFmtId="0" fontId="0" fillId="0" borderId="11" xfId="0" applyBorder="1" applyAlignment="1">
      <alignment horizontal="left"/>
    </xf>
    <xf numFmtId="0" fontId="0" fillId="0" borderId="11" xfId="0" applyBorder="1"/>
    <xf numFmtId="0" fontId="0" fillId="5" borderId="11" xfId="0" applyFill="1" applyBorder="1" applyAlignment="1">
      <alignment wrapText="1"/>
    </xf>
    <xf numFmtId="0" fontId="0" fillId="3" borderId="11" xfId="0" applyFill="1" applyBorder="1" applyAlignment="1">
      <alignment horizontal="center" wrapText="1"/>
    </xf>
    <xf numFmtId="1" fontId="0" fillId="0" borderId="11" xfId="0" applyNumberFormat="1" applyBorder="1"/>
    <xf numFmtId="0" fontId="24" fillId="0" borderId="0" xfId="0" applyFont="1"/>
    <xf numFmtId="0" fontId="3" fillId="8" borderId="0" xfId="0" applyFont="1" applyFill="1" applyAlignment="1">
      <alignment horizontal="center"/>
    </xf>
    <xf numFmtId="0" fontId="0" fillId="8" borderId="0" xfId="0" applyFill="1"/>
    <xf numFmtId="0" fontId="1" fillId="8" borderId="0" xfId="0" applyFont="1" applyFill="1"/>
    <xf numFmtId="0" fontId="2" fillId="8" borderId="0" xfId="0" applyFont="1" applyFill="1"/>
    <xf numFmtId="0" fontId="0" fillId="8" borderId="0" xfId="0" applyFill="1" applyAlignment="1">
      <alignment horizontal="right"/>
    </xf>
    <xf numFmtId="0" fontId="1" fillId="8" borderId="0" xfId="0" applyFont="1" applyFill="1" applyAlignment="1">
      <alignment horizontal="center"/>
    </xf>
    <xf numFmtId="0" fontId="0" fillId="8" borderId="1" xfId="0" applyFill="1" applyBorder="1"/>
    <xf numFmtId="0" fontId="0" fillId="8" borderId="2" xfId="0" applyFill="1" applyBorder="1"/>
    <xf numFmtId="0" fontId="0" fillId="8" borderId="3" xfId="0" applyFill="1" applyBorder="1"/>
    <xf numFmtId="0" fontId="0" fillId="8" borderId="5" xfId="0" applyFill="1" applyBorder="1" applyAlignment="1">
      <alignment horizontal="center"/>
    </xf>
    <xf numFmtId="0" fontId="0" fillId="8" borderId="4" xfId="0" applyFill="1" applyBorder="1"/>
    <xf numFmtId="0" fontId="0" fillId="8" borderId="5" xfId="0" applyFill="1" applyBorder="1"/>
    <xf numFmtId="0" fontId="16" fillId="8" borderId="0" xfId="1" applyFill="1" applyBorder="1"/>
    <xf numFmtId="0" fontId="0" fillId="8" borderId="6" xfId="0" applyFill="1" applyBorder="1"/>
    <xf numFmtId="0" fontId="0" fillId="8" borderId="7" xfId="0" applyFill="1" applyBorder="1"/>
    <xf numFmtId="0" fontId="16" fillId="8" borderId="7" xfId="1" applyFill="1" applyBorder="1"/>
    <xf numFmtId="0" fontId="0" fillId="8" borderId="8" xfId="0" applyFill="1" applyBorder="1"/>
    <xf numFmtId="0" fontId="16" fillId="8" borderId="0" xfId="1" applyFill="1" applyBorder="1" applyAlignment="1">
      <alignment horizontal="center"/>
    </xf>
    <xf numFmtId="0" fontId="0" fillId="8" borderId="13" xfId="0" applyFill="1" applyBorder="1" applyAlignment="1">
      <alignment horizontal="right"/>
    </xf>
    <xf numFmtId="0" fontId="1" fillId="8" borderId="14" xfId="0" applyFont="1" applyFill="1" applyBorder="1" applyAlignment="1">
      <alignment horizontal="center"/>
    </xf>
    <xf numFmtId="0" fontId="0" fillId="8" borderId="15" xfId="0" applyFill="1" applyBorder="1"/>
    <xf numFmtId="0" fontId="0" fillId="8" borderId="16" xfId="0" applyFill="1" applyBorder="1" applyAlignment="1">
      <alignment horizontal="right"/>
    </xf>
    <xf numFmtId="0" fontId="0" fillId="8" borderId="17" xfId="0" applyFill="1" applyBorder="1"/>
    <xf numFmtId="0" fontId="0" fillId="8" borderId="18" xfId="0" applyFill="1" applyBorder="1" applyAlignment="1">
      <alignment horizontal="right"/>
    </xf>
    <xf numFmtId="0" fontId="0" fillId="8" borderId="20" xfId="0" applyFill="1" applyBorder="1"/>
    <xf numFmtId="0" fontId="1" fillId="8" borderId="13" xfId="0" applyFont="1" applyFill="1" applyBorder="1"/>
    <xf numFmtId="0" fontId="1" fillId="8" borderId="16" xfId="0" applyFont="1" applyFill="1" applyBorder="1" applyAlignment="1">
      <alignment horizontal="center"/>
    </xf>
    <xf numFmtId="0" fontId="0" fillId="8" borderId="17" xfId="0" applyFill="1" applyBorder="1" applyAlignment="1">
      <alignment horizontal="center"/>
    </xf>
    <xf numFmtId="0" fontId="3" fillId="8" borderId="2" xfId="0" applyFont="1" applyFill="1" applyBorder="1" applyAlignment="1">
      <alignment horizontal="center"/>
    </xf>
    <xf numFmtId="0" fontId="0" fillId="8" borderId="0" xfId="0" applyFill="1" applyAlignment="1">
      <alignment horizontal="center"/>
    </xf>
    <xf numFmtId="0" fontId="0" fillId="8" borderId="7" xfId="0" applyFill="1" applyBorder="1" applyAlignment="1">
      <alignment horizontal="center"/>
    </xf>
    <xf numFmtId="0" fontId="27" fillId="10" borderId="25" xfId="3" applyFont="1" applyFill="1" applyBorder="1" applyAlignment="1">
      <alignment horizontal="center" vertical="center"/>
    </xf>
    <xf numFmtId="0" fontId="0" fillId="11" borderId="0" xfId="0" applyFill="1"/>
    <xf numFmtId="0" fontId="29" fillId="8" borderId="0" xfId="2" applyFont="1" applyFill="1" applyAlignment="1">
      <alignment horizontal="center"/>
    </xf>
    <xf numFmtId="0" fontId="0" fillId="8" borderId="0" xfId="0" applyFill="1" applyAlignment="1">
      <alignment horizontal="left"/>
    </xf>
    <xf numFmtId="0" fontId="0" fillId="8" borderId="3" xfId="0" applyFill="1" applyBorder="1" applyAlignment="1">
      <alignment horizontal="center"/>
    </xf>
    <xf numFmtId="0" fontId="30" fillId="8" borderId="0" xfId="0" applyFont="1" applyFill="1" applyAlignment="1">
      <alignment horizontal="center"/>
    </xf>
    <xf numFmtId="0" fontId="0" fillId="8" borderId="6" xfId="0" applyFill="1" applyBorder="1" applyAlignment="1">
      <alignment horizontal="left"/>
    </xf>
    <xf numFmtId="0" fontId="12" fillId="8" borderId="0" xfId="0" applyFont="1" applyFill="1" applyAlignment="1">
      <alignment horizontal="center"/>
    </xf>
    <xf numFmtId="0" fontId="12" fillId="0" borderId="0" xfId="0" applyFont="1" applyAlignment="1">
      <alignment horizont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26" xfId="0" applyBorder="1" applyAlignment="1">
      <alignment horizontal="left" vertical="center" wrapText="1"/>
    </xf>
    <xf numFmtId="0" fontId="31" fillId="2" borderId="27" xfId="0" applyFont="1" applyFill="1" applyBorder="1" applyAlignment="1">
      <alignment horizontal="center" vertical="center"/>
    </xf>
    <xf numFmtId="0" fontId="1" fillId="2" borderId="27" xfId="0" applyFont="1" applyFill="1" applyBorder="1" applyAlignment="1">
      <alignment vertical="center"/>
    </xf>
    <xf numFmtId="0" fontId="3" fillId="2" borderId="27" xfId="0" applyFont="1" applyFill="1" applyBorder="1" applyAlignment="1">
      <alignment horizontal="left"/>
    </xf>
    <xf numFmtId="0" fontId="3" fillId="2" borderId="27" xfId="0" applyFont="1" applyFill="1" applyBorder="1"/>
    <xf numFmtId="0" fontId="2" fillId="2" borderId="27" xfId="0" applyFont="1" applyFill="1" applyBorder="1"/>
    <xf numFmtId="0" fontId="12" fillId="12" borderId="27" xfId="4" applyFont="1" applyBorder="1" applyAlignment="1">
      <alignment horizontal="center"/>
    </xf>
    <xf numFmtId="0" fontId="3" fillId="12" borderId="27" xfId="4" applyFont="1" applyBorder="1"/>
    <xf numFmtId="0" fontId="28" fillId="12" borderId="27" xfId="4" applyBorder="1" applyAlignment="1">
      <alignment horizontal="center"/>
    </xf>
    <xf numFmtId="0" fontId="28" fillId="12" borderId="27" xfId="4" applyBorder="1"/>
    <xf numFmtId="0" fontId="0" fillId="0" borderId="0" xfId="0" applyAlignment="1">
      <alignment vertical="center" wrapText="1"/>
    </xf>
    <xf numFmtId="0" fontId="12" fillId="13" borderId="0" xfId="0" applyFont="1" applyFill="1" applyAlignment="1">
      <alignment horizontal="center"/>
    </xf>
    <xf numFmtId="0" fontId="12" fillId="14" borderId="27" xfId="4" applyFont="1" applyFill="1" applyBorder="1" applyAlignment="1">
      <alignment horizontal="center"/>
    </xf>
    <xf numFmtId="0" fontId="3" fillId="14" borderId="27" xfId="4" applyFont="1" applyFill="1" applyBorder="1"/>
    <xf numFmtId="0" fontId="28" fillId="14" borderId="27" xfId="4" applyFill="1" applyBorder="1" applyAlignment="1">
      <alignment horizontal="center"/>
    </xf>
    <xf numFmtId="0" fontId="28" fillId="14" borderId="27" xfId="4" applyFill="1" applyBorder="1"/>
    <xf numFmtId="0" fontId="1" fillId="8" borderId="0" xfId="0" applyFont="1" applyFill="1" applyAlignment="1">
      <alignment horizontal="left" vertical="center"/>
    </xf>
    <xf numFmtId="0" fontId="0" fillId="8" borderId="0" xfId="0" applyFill="1" applyAlignment="1">
      <alignment vertical="center"/>
    </xf>
    <xf numFmtId="0" fontId="12" fillId="0" borderId="0" xfId="0" applyFont="1"/>
    <xf numFmtId="0" fontId="33" fillId="13" borderId="0" xfId="0" applyFont="1" applyFill="1"/>
    <xf numFmtId="0" fontId="1" fillId="15" borderId="0" xfId="0" applyFont="1" applyFill="1" applyAlignment="1">
      <alignment horizontal="center" wrapText="1"/>
    </xf>
    <xf numFmtId="0" fontId="27" fillId="10" borderId="28" xfId="3" applyFont="1" applyFill="1" applyBorder="1" applyAlignment="1">
      <alignment horizontal="center" vertical="center"/>
    </xf>
    <xf numFmtId="0" fontId="1" fillId="8" borderId="1" xfId="0" applyFont="1" applyFill="1" applyBorder="1"/>
    <xf numFmtId="0" fontId="1" fillId="8" borderId="4" xfId="0" applyFont="1" applyFill="1" applyBorder="1" applyAlignment="1">
      <alignment wrapText="1"/>
    </xf>
    <xf numFmtId="0" fontId="1" fillId="8" borderId="4" xfId="0" applyFont="1" applyFill="1" applyBorder="1"/>
    <xf numFmtId="0" fontId="34" fillId="2" borderId="27" xfId="0" applyFont="1" applyFill="1" applyBorder="1"/>
    <xf numFmtId="0" fontId="0" fillId="8" borderId="14" xfId="0" applyFill="1" applyBorder="1"/>
    <xf numFmtId="0" fontId="0" fillId="8" borderId="19" xfId="0" applyFill="1" applyBorder="1"/>
    <xf numFmtId="0" fontId="0" fillId="8" borderId="14" xfId="0" applyFill="1" applyBorder="1" applyAlignment="1">
      <alignment horizontal="right"/>
    </xf>
    <xf numFmtId="0" fontId="0" fillId="8" borderId="19" xfId="0" applyFill="1" applyBorder="1" applyAlignment="1">
      <alignment horizontal="right"/>
    </xf>
    <xf numFmtId="0" fontId="1" fillId="8" borderId="14" xfId="0" applyFont="1" applyFill="1" applyBorder="1"/>
    <xf numFmtId="0" fontId="1" fillId="0" borderId="13" xfId="0" applyFont="1" applyBorder="1" applyAlignment="1">
      <alignment horizontal="center"/>
    </xf>
    <xf numFmtId="0" fontId="1" fillId="0" borderId="15"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17" fillId="8" borderId="4" xfId="0" applyFont="1" applyFill="1" applyBorder="1" applyAlignment="1">
      <alignment horizontal="center"/>
    </xf>
    <xf numFmtId="0" fontId="0" fillId="8" borderId="4" xfId="0" applyFill="1" applyBorder="1" applyAlignment="1">
      <alignment horizontal="center"/>
    </xf>
    <xf numFmtId="0" fontId="35" fillId="10" borderId="25" xfId="3" applyFont="1" applyFill="1" applyBorder="1" applyAlignment="1">
      <alignment horizontal="center" vertical="center"/>
    </xf>
    <xf numFmtId="0" fontId="17" fillId="8" borderId="4" xfId="0" applyFont="1" applyFill="1" applyBorder="1"/>
    <xf numFmtId="0" fontId="1" fillId="0" borderId="0" xfId="0" applyFont="1" applyAlignment="1">
      <alignment horizontal="center"/>
    </xf>
    <xf numFmtId="0" fontId="9" fillId="10" borderId="25" xfId="3" applyFont="1" applyFill="1" applyBorder="1" applyAlignment="1">
      <alignment horizontal="center" vertical="center" wrapText="1"/>
    </xf>
    <xf numFmtId="0" fontId="0" fillId="0" borderId="32" xfId="0" applyBorder="1"/>
    <xf numFmtId="0" fontId="28" fillId="0" borderId="0" xfId="4" applyFill="1" applyBorder="1"/>
    <xf numFmtId="0" fontId="3" fillId="0" borderId="0" xfId="0" applyFont="1"/>
    <xf numFmtId="0" fontId="12" fillId="8" borderId="34" xfId="0" applyFont="1" applyFill="1" applyBorder="1" applyAlignment="1">
      <alignment horizontal="center"/>
    </xf>
    <xf numFmtId="0" fontId="0" fillId="8" borderId="34" xfId="0" applyFill="1" applyBorder="1"/>
    <xf numFmtId="0" fontId="28" fillId="14" borderId="33" xfId="4" applyFill="1" applyBorder="1"/>
    <xf numFmtId="0" fontId="3" fillId="2" borderId="33" xfId="0" applyFont="1" applyFill="1" applyBorder="1"/>
    <xf numFmtId="0" fontId="0" fillId="0" borderId="17" xfId="0" applyBorder="1"/>
    <xf numFmtId="0" fontId="0" fillId="0" borderId="20" xfId="0" applyBorder="1"/>
    <xf numFmtId="0" fontId="1" fillId="0" borderId="35" xfId="0" applyFont="1" applyBorder="1" applyAlignment="1">
      <alignment horizontal="right"/>
    </xf>
    <xf numFmtId="0" fontId="0" fillId="0" borderId="36" xfId="0" applyBorder="1" applyAlignment="1">
      <alignment horizontal="center"/>
    </xf>
    <xf numFmtId="0" fontId="1" fillId="15" borderId="13" xfId="0" applyFont="1" applyFill="1" applyBorder="1" applyAlignment="1">
      <alignment horizontal="center"/>
    </xf>
    <xf numFmtId="0" fontId="1" fillId="15" borderId="14" xfId="0" applyFont="1" applyFill="1" applyBorder="1" applyAlignment="1">
      <alignment horizontal="center"/>
    </xf>
    <xf numFmtId="0" fontId="1" fillId="15" borderId="15" xfId="0" applyFont="1" applyFill="1" applyBorder="1"/>
    <xf numFmtId="0" fontId="1" fillId="0" borderId="37" xfId="0" applyFont="1" applyBorder="1" applyAlignment="1">
      <alignment horizontal="center"/>
    </xf>
    <xf numFmtId="0" fontId="1" fillId="15" borderId="38" xfId="0" applyFont="1" applyFill="1" applyBorder="1" applyAlignment="1">
      <alignment horizontal="center" wrapText="1"/>
    </xf>
    <xf numFmtId="0" fontId="1" fillId="0" borderId="38" xfId="0" applyFont="1" applyBorder="1" applyAlignment="1">
      <alignment horizontal="center"/>
    </xf>
    <xf numFmtId="0" fontId="1" fillId="0" borderId="39" xfId="0" applyFont="1" applyBorder="1" applyAlignment="1">
      <alignment horizontal="center"/>
    </xf>
    <xf numFmtId="0" fontId="0" fillId="0" borderId="40" xfId="0" applyBorder="1" applyAlignment="1">
      <alignment horizontal="center"/>
    </xf>
    <xf numFmtId="1" fontId="0" fillId="0" borderId="0" xfId="0" applyNumberFormat="1" applyAlignment="1">
      <alignment horizontal="center"/>
    </xf>
    <xf numFmtId="1" fontId="0" fillId="0" borderId="41" xfId="0" applyNumberFormat="1" applyBorder="1" applyAlignment="1">
      <alignment horizontal="center"/>
    </xf>
    <xf numFmtId="0" fontId="0" fillId="0" borderId="42" xfId="0" applyBorder="1" applyAlignment="1">
      <alignment horizontal="center"/>
    </xf>
    <xf numFmtId="0" fontId="0" fillId="0" borderId="43" xfId="0" applyBorder="1"/>
    <xf numFmtId="0" fontId="0" fillId="0" borderId="43" xfId="0" applyBorder="1" applyAlignment="1">
      <alignment horizontal="center"/>
    </xf>
    <xf numFmtId="1" fontId="0" fillId="0" borderId="43" xfId="0" applyNumberFormat="1" applyBorder="1" applyAlignment="1">
      <alignment horizontal="center"/>
    </xf>
    <xf numFmtId="1" fontId="0" fillId="0" borderId="44" xfId="0" applyNumberFormat="1" applyBorder="1" applyAlignment="1">
      <alignment horizontal="center"/>
    </xf>
    <xf numFmtId="0" fontId="1" fillId="9" borderId="45" xfId="0" applyFont="1" applyFill="1"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6" xfId="0" applyBorder="1"/>
    <xf numFmtId="0" fontId="0" fillId="0" borderId="47" xfId="0" applyBorder="1"/>
    <xf numFmtId="0" fontId="1" fillId="9" borderId="48" xfId="0" applyFont="1" applyFill="1" applyBorder="1" applyAlignment="1">
      <alignment horizontal="left"/>
    </xf>
    <xf numFmtId="0" fontId="0" fillId="9" borderId="49" xfId="0" applyFill="1" applyBorder="1"/>
    <xf numFmtId="0" fontId="0" fillId="9" borderId="50" xfId="0" applyFill="1" applyBorder="1"/>
    <xf numFmtId="0" fontId="1" fillId="0" borderId="46" xfId="0" applyFont="1" applyBorder="1" applyAlignment="1">
      <alignment horizontal="center"/>
    </xf>
    <xf numFmtId="0" fontId="1" fillId="0" borderId="37" xfId="0" applyFont="1" applyBorder="1"/>
    <xf numFmtId="0" fontId="1" fillId="15" borderId="39" xfId="0" applyFont="1" applyFill="1" applyBorder="1" applyAlignment="1">
      <alignment horizontal="center" wrapText="1"/>
    </xf>
    <xf numFmtId="0" fontId="0" fillId="0" borderId="40" xfId="0" applyBorder="1"/>
    <xf numFmtId="0" fontId="0" fillId="0" borderId="41" xfId="0" applyBorder="1"/>
    <xf numFmtId="0" fontId="0" fillId="0" borderId="42" xfId="0" applyBorder="1"/>
    <xf numFmtId="0" fontId="0" fillId="0" borderId="44" xfId="0" applyBorder="1"/>
    <xf numFmtId="0" fontId="1" fillId="0" borderId="45" xfId="0" applyFont="1" applyBorder="1"/>
    <xf numFmtId="0" fontId="0" fillId="0" borderId="18" xfId="0" quotePrefix="1" applyBorder="1" applyAlignment="1">
      <alignment horizontal="center"/>
    </xf>
    <xf numFmtId="0" fontId="1" fillId="15" borderId="11" xfId="0" applyFont="1" applyFill="1" applyBorder="1" applyAlignment="1">
      <alignment horizontal="center" wrapText="1"/>
    </xf>
    <xf numFmtId="0" fontId="12" fillId="2" borderId="0" xfId="0" applyFont="1" applyFill="1" applyAlignment="1">
      <alignment horizontal="center"/>
    </xf>
    <xf numFmtId="0" fontId="1" fillId="0" borderId="14" xfId="0" applyFont="1" applyBorder="1" applyAlignment="1">
      <alignment horizontal="left"/>
    </xf>
    <xf numFmtId="165" fontId="0" fillId="0" borderId="20" xfId="0" applyNumberFormat="1" applyBorder="1" applyAlignment="1">
      <alignment horizontal="left"/>
    </xf>
    <xf numFmtId="165" fontId="0" fillId="0" borderId="15" xfId="0" applyNumberFormat="1" applyBorder="1" applyAlignment="1">
      <alignment horizontal="left"/>
    </xf>
    <xf numFmtId="165" fontId="0" fillId="0" borderId="19" xfId="0" quotePrefix="1" applyNumberFormat="1" applyBorder="1" applyAlignment="1">
      <alignment horizontal="left"/>
    </xf>
    <xf numFmtId="165" fontId="0" fillId="0" borderId="53" xfId="0" applyNumberFormat="1" applyBorder="1" applyAlignment="1">
      <alignment horizontal="center"/>
    </xf>
    <xf numFmtId="0" fontId="1" fillId="0" borderId="55" xfId="0" applyFont="1" applyBorder="1" applyAlignment="1">
      <alignment horizontal="left"/>
    </xf>
    <xf numFmtId="165" fontId="0" fillId="0" borderId="38" xfId="0" applyNumberFormat="1" applyBorder="1" applyAlignment="1">
      <alignment horizontal="left"/>
    </xf>
    <xf numFmtId="0" fontId="0" fillId="0" borderId="39" xfId="0" applyBorder="1"/>
    <xf numFmtId="165" fontId="0" fillId="0" borderId="56" xfId="0" quotePrefix="1" applyNumberFormat="1" applyBorder="1" applyAlignment="1">
      <alignment horizontal="left"/>
    </xf>
    <xf numFmtId="165" fontId="0" fillId="0" borderId="43" xfId="0" applyNumberFormat="1" applyBorder="1" applyAlignment="1">
      <alignment horizontal="left"/>
    </xf>
    <xf numFmtId="165" fontId="0" fillId="0" borderId="0" xfId="0" applyNumberFormat="1" applyAlignment="1">
      <alignment horizontal="center"/>
    </xf>
    <xf numFmtId="0" fontId="1" fillId="0" borderId="14" xfId="0" applyFont="1" applyBorder="1" applyAlignment="1">
      <alignment horizontal="center"/>
    </xf>
    <xf numFmtId="0" fontId="0" fillId="0" borderId="19" xfId="0" applyBorder="1" applyAlignment="1">
      <alignment horizontal="center"/>
    </xf>
    <xf numFmtId="165" fontId="0" fillId="0" borderId="17" xfId="0" applyNumberFormat="1" applyBorder="1" applyAlignment="1">
      <alignment horizontal="center"/>
    </xf>
    <xf numFmtId="165" fontId="0" fillId="0" borderId="20" xfId="0" applyNumberFormat="1" applyBorder="1" applyAlignment="1">
      <alignment horizontal="center"/>
    </xf>
    <xf numFmtId="0" fontId="1" fillId="6" borderId="15" xfId="0" applyFont="1" applyFill="1" applyBorder="1" applyAlignment="1">
      <alignment horizontal="center"/>
    </xf>
    <xf numFmtId="0" fontId="1" fillId="6" borderId="51" xfId="0" applyFont="1" applyFill="1" applyBorder="1" applyAlignment="1">
      <alignment horizontal="center"/>
    </xf>
    <xf numFmtId="0" fontId="1" fillId="9" borderId="52" xfId="0" applyFont="1" applyFill="1" applyBorder="1" applyAlignment="1">
      <alignment horizontal="center"/>
    </xf>
    <xf numFmtId="0" fontId="1" fillId="9" borderId="54" xfId="0" applyFont="1" applyFill="1" applyBorder="1" applyAlignment="1">
      <alignment horizontal="center"/>
    </xf>
    <xf numFmtId="0" fontId="0" fillId="8" borderId="26" xfId="0" applyFill="1" applyBorder="1" applyAlignment="1">
      <alignment horizontal="left" vertical="center"/>
    </xf>
    <xf numFmtId="0" fontId="0" fillId="8" borderId="0" xfId="0" quotePrefix="1" applyFill="1" applyAlignment="1">
      <alignment horizontal="left" vertical="center"/>
    </xf>
    <xf numFmtId="0" fontId="1" fillId="2" borderId="0" xfId="0" applyFont="1" applyFill="1" applyAlignment="1">
      <alignment vertical="center"/>
    </xf>
    <xf numFmtId="0" fontId="0" fillId="8" borderId="0" xfId="0" applyFill="1" applyAlignment="1">
      <alignment horizontal="left" vertical="center"/>
    </xf>
    <xf numFmtId="0" fontId="37" fillId="2" borderId="27" xfId="0" applyFont="1" applyFill="1" applyBorder="1" applyAlignment="1">
      <alignment horizontal="center"/>
    </xf>
    <xf numFmtId="0" fontId="1" fillId="14" borderId="27" xfId="4" applyFont="1" applyFill="1" applyBorder="1" applyAlignment="1">
      <alignment horizontal="left"/>
    </xf>
    <xf numFmtId="0" fontId="1" fillId="0" borderId="57" xfId="0" applyFont="1" applyBorder="1" applyAlignment="1">
      <alignment horizontal="center"/>
    </xf>
    <xf numFmtId="0" fontId="0" fillId="0" borderId="58" xfId="0" quotePrefix="1" applyBorder="1" applyAlignment="1">
      <alignment horizontal="center"/>
    </xf>
    <xf numFmtId="0" fontId="0" fillId="0" borderId="0" xfId="0" applyAlignment="1">
      <alignment vertical="top"/>
    </xf>
    <xf numFmtId="0" fontId="0" fillId="0" borderId="64" xfId="0" applyBorder="1" applyAlignment="1">
      <alignment horizontal="left"/>
    </xf>
    <xf numFmtId="0" fontId="0" fillId="0" borderId="32" xfId="0" applyBorder="1" applyAlignment="1">
      <alignment horizontal="left"/>
    </xf>
    <xf numFmtId="0" fontId="1" fillId="0" borderId="38" xfId="0" applyFont="1" applyBorder="1" applyAlignment="1">
      <alignment horizontal="left"/>
    </xf>
    <xf numFmtId="0" fontId="0" fillId="0" borderId="24" xfId="0" applyBorder="1" applyAlignment="1">
      <alignment horizontal="center"/>
    </xf>
    <xf numFmtId="0" fontId="9" fillId="0" borderId="0" xfId="0" quotePrefix="1" applyFont="1"/>
    <xf numFmtId="0" fontId="1" fillId="2" borderId="0" xfId="0" applyFont="1" applyFill="1" applyAlignment="1">
      <alignment horizontal="center" vertical="center"/>
    </xf>
    <xf numFmtId="0" fontId="1" fillId="2" borderId="27" xfId="0" applyFont="1" applyFill="1" applyBorder="1" applyAlignment="1">
      <alignment horizontal="center"/>
    </xf>
    <xf numFmtId="0" fontId="1" fillId="2" borderId="27" xfId="0" applyFont="1" applyFill="1" applyBorder="1" applyAlignment="1">
      <alignment horizontal="center" wrapText="1"/>
    </xf>
    <xf numFmtId="0" fontId="1" fillId="0" borderId="59" xfId="0" applyFont="1" applyBorder="1" applyAlignment="1">
      <alignment horizontal="center"/>
    </xf>
    <xf numFmtId="0" fontId="1" fillId="4" borderId="52" xfId="0" quotePrefix="1" applyFont="1" applyFill="1" applyBorder="1" applyAlignment="1">
      <alignment horizontal="center" wrapText="1"/>
    </xf>
    <xf numFmtId="0" fontId="1" fillId="4" borderId="57" xfId="0" quotePrefix="1" applyFont="1" applyFill="1" applyBorder="1" applyAlignment="1">
      <alignment horizontal="center" wrapText="1"/>
    </xf>
    <xf numFmtId="0" fontId="0" fillId="0" borderId="60"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3" xfId="0" applyBorder="1" applyAlignment="1">
      <alignment horizontal="center"/>
    </xf>
    <xf numFmtId="0" fontId="0" fillId="0" borderId="53" xfId="0" applyBorder="1" applyAlignment="1">
      <alignment horizontal="center"/>
    </xf>
    <xf numFmtId="0" fontId="0" fillId="0" borderId="58" xfId="0" applyBorder="1" applyAlignment="1">
      <alignment horizontal="center"/>
    </xf>
    <xf numFmtId="0" fontId="1" fillId="2" borderId="0" xfId="0" applyFont="1" applyFill="1" applyAlignment="1">
      <alignment horizontal="center"/>
    </xf>
    <xf numFmtId="0" fontId="1" fillId="2" borderId="0" xfId="0" applyFont="1" applyFill="1" applyAlignment="1">
      <alignment horizontal="center" wrapText="1"/>
    </xf>
    <xf numFmtId="0" fontId="0" fillId="0" borderId="59" xfId="0" applyBorder="1" applyAlignment="1">
      <alignment horizontal="center"/>
    </xf>
    <xf numFmtId="0" fontId="1" fillId="4" borderId="52" xfId="0" quotePrefix="1" applyFont="1" applyFill="1" applyBorder="1" applyAlignment="1">
      <alignment horizontal="center"/>
    </xf>
    <xf numFmtId="0" fontId="1" fillId="4" borderId="57" xfId="0" quotePrefix="1" applyFont="1" applyFill="1" applyBorder="1" applyAlignment="1">
      <alignment horizontal="center"/>
    </xf>
    <xf numFmtId="165" fontId="0" fillId="0" borderId="0" xfId="0" applyNumberFormat="1" applyAlignment="1">
      <alignment horizontal="left" vertical="top" wrapText="1"/>
    </xf>
    <xf numFmtId="0" fontId="0" fillId="0" borderId="0" xfId="0" applyAlignment="1">
      <alignment horizontal="center" wrapText="1"/>
    </xf>
    <xf numFmtId="0" fontId="20" fillId="0" borderId="10" xfId="0" applyFont="1" applyBorder="1" applyAlignment="1">
      <alignment horizontal="center"/>
    </xf>
    <xf numFmtId="0" fontId="20" fillId="0" borderId="11" xfId="0" applyFont="1" applyBorder="1" applyAlignment="1">
      <alignment horizontal="center"/>
    </xf>
    <xf numFmtId="0" fontId="20" fillId="0" borderId="10" xfId="0" applyFont="1" applyBorder="1" applyAlignment="1">
      <alignment horizontal="center" wrapText="1"/>
    </xf>
    <xf numFmtId="0" fontId="20" fillId="0" borderId="11" xfId="0" applyFont="1" applyBorder="1" applyAlignment="1">
      <alignment horizontal="center" wrapText="1"/>
    </xf>
    <xf numFmtId="0" fontId="20" fillId="0" borderId="12" xfId="0" applyFont="1" applyBorder="1" applyAlignment="1">
      <alignment horizontal="center"/>
    </xf>
    <xf numFmtId="0" fontId="20" fillId="0" borderId="12" xfId="0" applyFont="1" applyBorder="1" applyAlignment="1">
      <alignment horizontal="center" wrapText="1"/>
    </xf>
    <xf numFmtId="3" fontId="20" fillId="0" borderId="10" xfId="0" applyNumberFormat="1" applyFont="1" applyBorder="1" applyAlignment="1">
      <alignment horizontal="right"/>
    </xf>
    <xf numFmtId="3" fontId="20" fillId="0" borderId="11" xfId="0" applyNumberFormat="1" applyFont="1" applyBorder="1" applyAlignment="1">
      <alignment horizontal="right"/>
    </xf>
    <xf numFmtId="0" fontId="20" fillId="0" borderId="11" xfId="0" applyFont="1" applyBorder="1" applyAlignment="1">
      <alignment horizontal="right"/>
    </xf>
    <xf numFmtId="3" fontId="20" fillId="0" borderId="12" xfId="0" applyNumberFormat="1" applyFont="1" applyBorder="1" applyAlignment="1">
      <alignment horizontal="right"/>
    </xf>
    <xf numFmtId="0" fontId="3" fillId="2" borderId="34" xfId="0" applyFont="1" applyFill="1" applyBorder="1"/>
    <xf numFmtId="49" fontId="1" fillId="0" borderId="13" xfId="0" applyNumberFormat="1" applyFont="1" applyBorder="1" applyAlignment="1">
      <alignment horizontal="center"/>
    </xf>
    <xf numFmtId="0" fontId="1" fillId="15" borderId="14" xfId="0" applyFont="1" applyFill="1" applyBorder="1" applyAlignment="1">
      <alignment horizontal="center" wrapText="1"/>
    </xf>
    <xf numFmtId="3" fontId="0" fillId="0" borderId="0" xfId="0" applyNumberFormat="1" applyAlignment="1">
      <alignment horizontal="center"/>
    </xf>
    <xf numFmtId="3" fontId="0" fillId="0" borderId="17" xfId="0" applyNumberFormat="1" applyBorder="1" applyAlignment="1">
      <alignment horizontal="center"/>
    </xf>
    <xf numFmtId="3" fontId="0" fillId="0" borderId="19" xfId="0" applyNumberFormat="1" applyBorder="1" applyAlignment="1">
      <alignment horizontal="center"/>
    </xf>
    <xf numFmtId="3" fontId="0" fillId="0" borderId="20" xfId="0" applyNumberFormat="1" applyBorder="1" applyAlignment="1">
      <alignment horizontal="center"/>
    </xf>
    <xf numFmtId="0" fontId="45" fillId="0" borderId="9" xfId="0" applyFont="1" applyBorder="1" applyAlignment="1">
      <alignment horizontal="center" wrapText="1"/>
    </xf>
    <xf numFmtId="0" fontId="45" fillId="0" borderId="9" xfId="0" applyFont="1" applyBorder="1" applyAlignment="1">
      <alignment horizontal="right" wrapText="1"/>
    </xf>
    <xf numFmtId="0" fontId="0" fillId="0" borderId="32" xfId="0" applyBorder="1" applyAlignment="1">
      <alignment horizontal="center"/>
    </xf>
    <xf numFmtId="0" fontId="0" fillId="16" borderId="16" xfId="0" applyFill="1" applyBorder="1" applyAlignment="1">
      <alignment horizontal="center"/>
    </xf>
    <xf numFmtId="0" fontId="0" fillId="16" borderId="0" xfId="0" applyFill="1" applyAlignment="1">
      <alignment horizontal="center"/>
    </xf>
    <xf numFmtId="0" fontId="0" fillId="0" borderId="41" xfId="0" applyBorder="1" applyAlignment="1">
      <alignment horizontal="center"/>
    </xf>
    <xf numFmtId="0" fontId="0" fillId="0" borderId="44" xfId="0" applyBorder="1" applyAlignment="1">
      <alignment horizontal="center"/>
    </xf>
    <xf numFmtId="0" fontId="0" fillId="16" borderId="62" xfId="0" applyFill="1" applyBorder="1" applyAlignment="1">
      <alignment horizontal="center"/>
    </xf>
    <xf numFmtId="0" fontId="1" fillId="8" borderId="0" xfId="0" quotePrefix="1" applyFont="1" applyFill="1"/>
    <xf numFmtId="0" fontId="0" fillId="8" borderId="0" xfId="0" quotePrefix="1" applyFill="1"/>
    <xf numFmtId="0" fontId="1" fillId="4" borderId="54" xfId="0" quotePrefix="1" applyFont="1" applyFill="1" applyBorder="1" applyAlignment="1">
      <alignment horizontal="center" wrapText="1"/>
    </xf>
    <xf numFmtId="0" fontId="0" fillId="16" borderId="32" xfId="0" applyFill="1" applyBorder="1" applyAlignment="1">
      <alignment horizontal="center"/>
    </xf>
    <xf numFmtId="0" fontId="0" fillId="0" borderId="65" xfId="0" applyBorder="1" applyAlignment="1">
      <alignment horizontal="center"/>
    </xf>
    <xf numFmtId="0" fontId="1" fillId="2" borderId="27" xfId="0" applyFont="1" applyFill="1" applyBorder="1" applyAlignment="1">
      <alignment horizontal="center" vertical="center"/>
    </xf>
    <xf numFmtId="0" fontId="1" fillId="0" borderId="37" xfId="0" applyFont="1" applyBorder="1" applyAlignment="1">
      <alignment horizontal="center" wrapText="1"/>
    </xf>
    <xf numFmtId="0" fontId="1" fillId="2" borderId="27" xfId="0" applyFont="1" applyFill="1" applyBorder="1" applyAlignment="1">
      <alignment horizontal="left" vertical="center"/>
    </xf>
    <xf numFmtId="0" fontId="0" fillId="0" borderId="38" xfId="0" applyBorder="1"/>
    <xf numFmtId="0" fontId="1" fillId="0" borderId="66" xfId="0" applyFont="1" applyBorder="1" applyAlignment="1">
      <alignment horizontal="center"/>
    </xf>
    <xf numFmtId="0" fontId="0" fillId="0" borderId="67" xfId="0" applyBorder="1" applyAlignment="1">
      <alignment horizontal="center"/>
    </xf>
    <xf numFmtId="0" fontId="1" fillId="0" borderId="55" xfId="0" quotePrefix="1" applyFont="1" applyBorder="1" applyAlignment="1">
      <alignment horizontal="left"/>
    </xf>
    <xf numFmtId="0" fontId="1" fillId="0" borderId="68" xfId="0" applyFont="1" applyBorder="1" applyAlignment="1">
      <alignment horizontal="center"/>
    </xf>
    <xf numFmtId="0" fontId="1" fillId="0" borderId="32" xfId="0" quotePrefix="1" applyFont="1" applyBorder="1" applyAlignment="1">
      <alignment horizontal="left"/>
    </xf>
    <xf numFmtId="0" fontId="1" fillId="0" borderId="69" xfId="0" applyFont="1" applyBorder="1" applyAlignment="1">
      <alignment horizontal="center"/>
    </xf>
    <xf numFmtId="0" fontId="0" fillId="0" borderId="70" xfId="0" applyBorder="1" applyAlignment="1">
      <alignment horizontal="center"/>
    </xf>
    <xf numFmtId="0" fontId="1" fillId="0" borderId="56" xfId="0" quotePrefix="1" applyFont="1" applyBorder="1" applyAlignment="1">
      <alignment horizontal="left"/>
    </xf>
    <xf numFmtId="0" fontId="40" fillId="0" borderId="57" xfId="0" applyFont="1" applyBorder="1" applyAlignment="1">
      <alignment horizontal="center"/>
    </xf>
    <xf numFmtId="0" fontId="50" fillId="0" borderId="62" xfId="0" applyFont="1" applyBorder="1" applyAlignment="1">
      <alignment horizontal="center"/>
    </xf>
    <xf numFmtId="0" fontId="47" fillId="0" borderId="62" xfId="0" applyFont="1" applyBorder="1" applyAlignment="1">
      <alignment horizontal="center"/>
    </xf>
    <xf numFmtId="0" fontId="42" fillId="0" borderId="62" xfId="0" applyFont="1" applyBorder="1" applyAlignment="1">
      <alignment horizontal="center"/>
    </xf>
    <xf numFmtId="0" fontId="51" fillId="0" borderId="58" xfId="0" applyFont="1" applyBorder="1" applyAlignment="1">
      <alignment horizontal="center"/>
    </xf>
    <xf numFmtId="0" fontId="1" fillId="15" borderId="57" xfId="0" applyFont="1" applyFill="1" applyBorder="1" applyAlignment="1">
      <alignment horizontal="center"/>
    </xf>
    <xf numFmtId="0" fontId="1" fillId="15" borderId="52" xfId="0" applyFont="1" applyFill="1" applyBorder="1" applyAlignment="1">
      <alignment horizontal="center"/>
    </xf>
    <xf numFmtId="0" fontId="1" fillId="0" borderId="71" xfId="0" applyFont="1" applyBorder="1" applyAlignment="1">
      <alignment horizontal="center"/>
    </xf>
    <xf numFmtId="0" fontId="40" fillId="0" borderId="59" xfId="0" applyFont="1" applyBorder="1" applyAlignment="1">
      <alignment horizontal="center"/>
    </xf>
    <xf numFmtId="0" fontId="50" fillId="0" borderId="60" xfId="0" applyFont="1" applyBorder="1" applyAlignment="1">
      <alignment horizontal="center"/>
    </xf>
    <xf numFmtId="0" fontId="47" fillId="0" borderId="60" xfId="0" applyFont="1" applyBorder="1" applyAlignment="1">
      <alignment horizontal="center"/>
    </xf>
    <xf numFmtId="0" fontId="42" fillId="0" borderId="60" xfId="0" applyFont="1" applyBorder="1" applyAlignment="1">
      <alignment horizontal="center"/>
    </xf>
    <xf numFmtId="0" fontId="51" fillId="0" borderId="63" xfId="0" applyFont="1" applyBorder="1" applyAlignment="1">
      <alignment horizontal="center"/>
    </xf>
    <xf numFmtId="166" fontId="0" fillId="0" borderId="0" xfId="0" applyNumberFormat="1" applyAlignment="1">
      <alignment horizontal="left"/>
    </xf>
    <xf numFmtId="0" fontId="0" fillId="13" borderId="0" xfId="0" applyFill="1"/>
    <xf numFmtId="0" fontId="26" fillId="2" borderId="27" xfId="0" applyFont="1" applyFill="1" applyBorder="1" applyAlignment="1">
      <alignment horizontal="center" vertical="center"/>
    </xf>
    <xf numFmtId="165" fontId="0" fillId="0" borderId="41" xfId="0" applyNumberFormat="1" applyBorder="1" applyAlignment="1">
      <alignment horizontal="center"/>
    </xf>
    <xf numFmtId="165" fontId="0" fillId="0" borderId="44" xfId="0" applyNumberFormat="1" applyBorder="1" applyAlignment="1">
      <alignment horizontal="center"/>
    </xf>
    <xf numFmtId="165" fontId="1" fillId="0" borderId="66" xfId="0" applyNumberFormat="1" applyFont="1" applyBorder="1" applyAlignment="1">
      <alignment horizontal="center"/>
    </xf>
    <xf numFmtId="165" fontId="0" fillId="0" borderId="68" xfId="0" applyNumberFormat="1" applyBorder="1" applyAlignment="1">
      <alignment horizontal="center"/>
    </xf>
    <xf numFmtId="0" fontId="0" fillId="0" borderId="69" xfId="0" applyBorder="1" applyAlignment="1">
      <alignment horizontal="center"/>
    </xf>
    <xf numFmtId="0" fontId="0" fillId="0" borderId="39" xfId="0" applyBorder="1" applyAlignment="1">
      <alignment horizontal="left"/>
    </xf>
    <xf numFmtId="165" fontId="0" fillId="0" borderId="32" xfId="0" quotePrefix="1" applyNumberFormat="1" applyBorder="1" applyAlignment="1">
      <alignment horizontal="left"/>
    </xf>
    <xf numFmtId="165" fontId="0" fillId="0" borderId="41" xfId="0" applyNumberFormat="1" applyBorder="1" applyAlignment="1">
      <alignment horizontal="left"/>
    </xf>
    <xf numFmtId="0" fontId="1" fillId="4" borderId="54" xfId="0" quotePrefix="1" applyFont="1" applyFill="1" applyBorder="1" applyAlignment="1">
      <alignment horizontal="center"/>
    </xf>
    <xf numFmtId="0" fontId="1" fillId="4" borderId="54" xfId="0" quotePrefix="1" applyFont="1" applyFill="1" applyBorder="1" applyAlignment="1">
      <alignment horizontal="left" wrapText="1"/>
    </xf>
    <xf numFmtId="0" fontId="1" fillId="4" borderId="32" xfId="0" applyFont="1" applyFill="1" applyBorder="1" applyAlignment="1">
      <alignment horizontal="center"/>
    </xf>
    <xf numFmtId="0" fontId="0" fillId="6" borderId="32" xfId="0" applyFill="1" applyBorder="1" applyAlignment="1">
      <alignment horizontal="center"/>
    </xf>
    <xf numFmtId="166" fontId="0" fillId="0" borderId="32" xfId="0" applyNumberFormat="1" applyBorder="1" applyAlignment="1">
      <alignment horizontal="center"/>
    </xf>
    <xf numFmtId="166" fontId="0" fillId="0" borderId="56" xfId="0" applyNumberFormat="1" applyBorder="1" applyAlignment="1">
      <alignment horizontal="center"/>
    </xf>
    <xf numFmtId="0" fontId="1" fillId="0" borderId="5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165" fontId="0" fillId="0" borderId="32" xfId="0" applyNumberFormat="1" applyBorder="1" applyAlignment="1">
      <alignment horizontal="left"/>
    </xf>
    <xf numFmtId="165" fontId="0" fillId="0" borderId="17" xfId="0" applyNumberFormat="1" applyBorder="1" applyAlignment="1">
      <alignment horizontal="left"/>
    </xf>
    <xf numFmtId="0" fontId="0" fillId="0" borderId="65" xfId="0" applyBorder="1"/>
    <xf numFmtId="165" fontId="0" fillId="0" borderId="19" xfId="0" applyNumberFormat="1" applyBorder="1" applyAlignment="1">
      <alignment horizontal="left"/>
    </xf>
    <xf numFmtId="0" fontId="0" fillId="0" borderId="38" xfId="0" applyBorder="1" applyAlignment="1">
      <alignment horizontal="left"/>
    </xf>
    <xf numFmtId="0" fontId="1" fillId="4" borderId="67" xfId="0" quotePrefix="1" applyFont="1" applyFill="1" applyBorder="1" applyAlignment="1">
      <alignment horizontal="center" wrapText="1"/>
    </xf>
    <xf numFmtId="3" fontId="0" fillId="0" borderId="61" xfId="0" applyNumberFormat="1" applyBorder="1" applyAlignment="1">
      <alignment horizontal="center"/>
    </xf>
    <xf numFmtId="3" fontId="0" fillId="0" borderId="70" xfId="0" applyNumberFormat="1" applyBorder="1" applyAlignment="1">
      <alignment horizontal="center"/>
    </xf>
    <xf numFmtId="0" fontId="1" fillId="4" borderId="72" xfId="0" applyFont="1" applyFill="1" applyBorder="1" applyAlignment="1">
      <alignment horizontal="center"/>
    </xf>
    <xf numFmtId="0" fontId="1" fillId="4" borderId="73" xfId="0" applyFont="1" applyFill="1" applyBorder="1" applyAlignment="1">
      <alignment horizontal="center"/>
    </xf>
    <xf numFmtId="0" fontId="1" fillId="15" borderId="74" xfId="0" applyFont="1" applyFill="1" applyBorder="1" applyAlignment="1">
      <alignment horizontal="center" wrapText="1"/>
    </xf>
    <xf numFmtId="0" fontId="0" fillId="6" borderId="75" xfId="0" applyFill="1" applyBorder="1" applyAlignment="1">
      <alignment horizontal="center"/>
    </xf>
    <xf numFmtId="0" fontId="0" fillId="6" borderId="76" xfId="0" applyFill="1" applyBorder="1" applyAlignment="1">
      <alignment horizontal="center"/>
    </xf>
    <xf numFmtId="0" fontId="14" fillId="0" borderId="0" xfId="0" quotePrefix="1" applyFont="1"/>
    <xf numFmtId="0" fontId="0" fillId="0" borderId="77" xfId="0" quotePrefix="1" applyBorder="1" applyAlignment="1">
      <alignment horizontal="center"/>
    </xf>
    <xf numFmtId="0" fontId="12" fillId="0" borderId="0" xfId="0" quotePrefix="1" applyFont="1" applyAlignment="1">
      <alignment horizontal="center"/>
    </xf>
    <xf numFmtId="0" fontId="0" fillId="8" borderId="7" xfId="0" applyFill="1" applyBorder="1" applyAlignment="1">
      <alignment horizontal="left"/>
    </xf>
    <xf numFmtId="0" fontId="0" fillId="8" borderId="8" xfId="0" applyFill="1" applyBorder="1" applyAlignment="1">
      <alignment horizontal="left"/>
    </xf>
    <xf numFmtId="0" fontId="22" fillId="8" borderId="0" xfId="0" applyFont="1" applyFill="1" applyAlignment="1">
      <alignment horizontal="left" vertical="center" indent="3"/>
    </xf>
    <xf numFmtId="0" fontId="12" fillId="8" borderId="0" xfId="0" quotePrefix="1" applyFont="1" applyFill="1"/>
    <xf numFmtId="0" fontId="34" fillId="2" borderId="27" xfId="0" applyFont="1" applyFill="1" applyBorder="1" applyAlignment="1">
      <alignment horizontal="center"/>
    </xf>
    <xf numFmtId="0" fontId="14" fillId="0" borderId="0" xfId="0" applyFont="1" applyAlignment="1">
      <alignment horizontal="center" vertical="center" wrapText="1"/>
    </xf>
    <xf numFmtId="0" fontId="0" fillId="0" borderId="23" xfId="0" quotePrefix="1" applyBorder="1" applyAlignment="1">
      <alignment horizontal="left" wrapText="1"/>
    </xf>
    <xf numFmtId="0" fontId="0" fillId="0" borderId="23" xfId="0" applyBorder="1"/>
    <xf numFmtId="0" fontId="0" fillId="0" borderId="23" xfId="0" applyBorder="1" applyAlignment="1">
      <alignment horizontal="left"/>
    </xf>
    <xf numFmtId="0" fontId="1" fillId="9" borderId="15" xfId="0" applyFont="1" applyFill="1" applyBorder="1" applyAlignment="1">
      <alignment wrapText="1"/>
    </xf>
    <xf numFmtId="0" fontId="1" fillId="9" borderId="0" xfId="0" applyFont="1" applyFill="1" applyAlignment="1">
      <alignment horizontal="right"/>
    </xf>
    <xf numFmtId="0" fontId="1" fillId="9" borderId="0" xfId="0" applyFont="1" applyFill="1"/>
    <xf numFmtId="0" fontId="1" fillId="0" borderId="13" xfId="0" applyFont="1" applyBorder="1" applyAlignment="1">
      <alignment wrapText="1"/>
    </xf>
    <xf numFmtId="0" fontId="1" fillId="0" borderId="14" xfId="0" applyFont="1" applyBorder="1" applyAlignment="1">
      <alignment wrapText="1"/>
    </xf>
    <xf numFmtId="3" fontId="0" fillId="0" borderId="0" xfId="0" applyNumberFormat="1" applyAlignment="1">
      <alignment horizontal="right"/>
    </xf>
    <xf numFmtId="3" fontId="0" fillId="0" borderId="17" xfId="0" applyNumberFormat="1" applyBorder="1" applyAlignment="1">
      <alignment horizontal="right"/>
    </xf>
    <xf numFmtId="3" fontId="0" fillId="0" borderId="0" xfId="0" applyNumberFormat="1"/>
    <xf numFmtId="3" fontId="0" fillId="0" borderId="17" xfId="0" applyNumberFormat="1" applyBorder="1"/>
    <xf numFmtId="3" fontId="0" fillId="0" borderId="19" xfId="0" applyNumberFormat="1" applyBorder="1"/>
    <xf numFmtId="3" fontId="0" fillId="0" borderId="20" xfId="0" applyNumberFormat="1" applyBorder="1"/>
    <xf numFmtId="3" fontId="0" fillId="0" borderId="0" xfId="0" applyNumberFormat="1" applyAlignment="1">
      <alignment horizontal="left"/>
    </xf>
    <xf numFmtId="3" fontId="1" fillId="0" borderId="14" xfId="0" applyNumberFormat="1" applyFont="1" applyBorder="1" applyAlignment="1">
      <alignment horizontal="center" wrapText="1"/>
    </xf>
    <xf numFmtId="3" fontId="1" fillId="0" borderId="15" xfId="0" applyNumberFormat="1" applyFont="1" applyBorder="1" applyAlignment="1">
      <alignment horizontal="center" wrapText="1"/>
    </xf>
    <xf numFmtId="3" fontId="3" fillId="2" borderId="0" xfId="0" applyNumberFormat="1" applyFont="1" applyFill="1"/>
    <xf numFmtId="3" fontId="2" fillId="2" borderId="0" xfId="0" applyNumberFormat="1" applyFont="1" applyFill="1"/>
    <xf numFmtId="3" fontId="1" fillId="0" borderId="0" xfId="0" applyNumberFormat="1" applyFont="1"/>
    <xf numFmtId="3" fontId="1" fillId="9" borderId="0" xfId="0" applyNumberFormat="1" applyFont="1" applyFill="1"/>
    <xf numFmtId="3" fontId="1" fillId="6" borderId="0" xfId="0" applyNumberFormat="1" applyFont="1" applyFill="1" applyAlignment="1">
      <alignment horizontal="center"/>
    </xf>
    <xf numFmtId="0" fontId="0" fillId="8" borderId="0" xfId="0" applyFill="1" applyAlignment="1">
      <alignment wrapText="1"/>
    </xf>
    <xf numFmtId="0" fontId="28" fillId="14" borderId="27" xfId="4" applyFill="1" applyBorder="1" applyAlignment="1">
      <alignment wrapText="1"/>
    </xf>
    <xf numFmtId="0" fontId="0" fillId="0" borderId="0" xfId="0" applyAlignment="1">
      <alignment horizontal="right" wrapText="1"/>
    </xf>
    <xf numFmtId="0" fontId="0" fillId="0" borderId="0" xfId="0" applyAlignment="1">
      <alignment horizontal="left" wrapText="1"/>
    </xf>
    <xf numFmtId="0" fontId="23" fillId="0" borderId="0" xfId="0" quotePrefix="1" applyFont="1" applyAlignment="1">
      <alignment horizontal="right" wrapText="1"/>
    </xf>
    <xf numFmtId="0" fontId="3" fillId="2" borderId="0" xfId="0" applyFont="1" applyFill="1" applyAlignment="1">
      <alignment wrapText="1"/>
    </xf>
    <xf numFmtId="0" fontId="0" fillId="0" borderId="78" xfId="0" applyBorder="1"/>
    <xf numFmtId="0" fontId="1" fillId="0" borderId="79" xfId="0" applyFont="1" applyBorder="1" applyAlignment="1">
      <alignment horizontal="center" wrapText="1"/>
    </xf>
    <xf numFmtId="0" fontId="0" fillId="0" borderId="79" xfId="0" applyBorder="1"/>
    <xf numFmtId="0" fontId="1" fillId="0" borderId="80" xfId="0" applyFont="1" applyBorder="1" applyAlignment="1">
      <alignment horizontal="center" wrapText="1"/>
    </xf>
    <xf numFmtId="0" fontId="1" fillId="0" borderId="81" xfId="0" applyFont="1" applyBorder="1" applyAlignment="1">
      <alignment horizontal="right"/>
    </xf>
    <xf numFmtId="0" fontId="14" fillId="6" borderId="82" xfId="0" applyFont="1" applyFill="1" applyBorder="1" applyAlignment="1">
      <alignment horizontal="center"/>
    </xf>
    <xf numFmtId="0" fontId="0" fillId="0" borderId="82" xfId="0" applyBorder="1" applyAlignment="1">
      <alignment horizontal="center"/>
    </xf>
    <xf numFmtId="0" fontId="14" fillId="6" borderId="83" xfId="0" applyFont="1" applyFill="1" applyBorder="1" applyAlignment="1">
      <alignment horizontal="center"/>
    </xf>
    <xf numFmtId="0" fontId="1" fillId="0" borderId="84" xfId="0" applyFont="1" applyBorder="1" applyAlignment="1">
      <alignment horizontal="right"/>
    </xf>
    <xf numFmtId="0" fontId="14" fillId="6" borderId="85" xfId="0" applyFont="1" applyFill="1" applyBorder="1" applyAlignment="1">
      <alignment horizontal="center"/>
    </xf>
    <xf numFmtId="0" fontId="0" fillId="0" borderId="85" xfId="0" applyBorder="1" applyAlignment="1">
      <alignment horizontal="center"/>
    </xf>
    <xf numFmtId="0" fontId="14" fillId="6" borderId="86" xfId="0" applyFont="1" applyFill="1" applyBorder="1" applyAlignment="1">
      <alignment horizontal="center"/>
    </xf>
    <xf numFmtId="0" fontId="1" fillId="0" borderId="63" xfId="0" applyFont="1" applyBorder="1" applyAlignment="1">
      <alignment horizontal="center"/>
    </xf>
    <xf numFmtId="0" fontId="1" fillId="0" borderId="53" xfId="0" applyFont="1" applyBorder="1" applyAlignment="1">
      <alignment horizontal="center"/>
    </xf>
    <xf numFmtId="0" fontId="1" fillId="0" borderId="58" xfId="0" applyFont="1" applyBorder="1" applyAlignment="1">
      <alignment horizontal="center"/>
    </xf>
    <xf numFmtId="0" fontId="0" fillId="0" borderId="52" xfId="0" applyBorder="1" applyAlignment="1">
      <alignment horizontal="center"/>
    </xf>
    <xf numFmtId="0" fontId="0" fillId="0" borderId="57" xfId="0"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9" borderId="59" xfId="0" quotePrefix="1" applyFont="1" applyFill="1" applyBorder="1" applyAlignment="1">
      <alignment horizontal="center"/>
    </xf>
    <xf numFmtId="0" fontId="1" fillId="9" borderId="52" xfId="0" quotePrefix="1" applyFont="1" applyFill="1" applyBorder="1" applyAlignment="1">
      <alignment horizontal="center"/>
    </xf>
    <xf numFmtId="0" fontId="1" fillId="9" borderId="57" xfId="0" quotePrefix="1" applyFont="1" applyFill="1" applyBorder="1" applyAlignment="1">
      <alignment horizontal="center"/>
    </xf>
    <xf numFmtId="0" fontId="0" fillId="0" borderId="22" xfId="0" applyBorder="1" applyAlignment="1">
      <alignment horizontal="center"/>
    </xf>
    <xf numFmtId="0" fontId="1" fillId="0" borderId="23" xfId="0" applyFont="1" applyBorder="1" applyAlignment="1">
      <alignment horizontal="center"/>
    </xf>
    <xf numFmtId="0" fontId="0" fillId="0" borderId="23" xfId="0" applyBorder="1" applyAlignment="1">
      <alignment horizontal="center"/>
    </xf>
    <xf numFmtId="0" fontId="1" fillId="9" borderId="22" xfId="0" quotePrefix="1" applyFont="1" applyFill="1" applyBorder="1" applyAlignment="1">
      <alignment horizontal="center"/>
    </xf>
    <xf numFmtId="0" fontId="1" fillId="0" borderId="24" xfId="0" applyFont="1" applyBorder="1" applyAlignment="1">
      <alignment horizontal="center"/>
    </xf>
    <xf numFmtId="0" fontId="16" fillId="8" borderId="0" xfId="1" applyFill="1" applyAlignment="1">
      <alignment horizontal="center"/>
    </xf>
    <xf numFmtId="0" fontId="0" fillId="0" borderId="29" xfId="0" applyBorder="1"/>
    <xf numFmtId="0" fontId="0" fillId="0" borderId="30" xfId="0" applyBorder="1"/>
    <xf numFmtId="0" fontId="0" fillId="0" borderId="31" xfId="0" applyBorder="1"/>
    <xf numFmtId="0" fontId="0" fillId="0" borderId="19" xfId="0" applyBorder="1" applyAlignment="1">
      <alignment horizontal="right"/>
    </xf>
    <xf numFmtId="0" fontId="0" fillId="0" borderId="29" xfId="0" applyBorder="1" applyAlignment="1">
      <alignment horizontal="left"/>
    </xf>
    <xf numFmtId="0" fontId="0" fillId="0" borderId="31" xfId="0" applyBorder="1" applyAlignment="1">
      <alignment wrapText="1"/>
    </xf>
    <xf numFmtId="0" fontId="52" fillId="0" borderId="0" xfId="0" applyFont="1" applyAlignment="1">
      <alignment horizontal="right" vertical="top"/>
    </xf>
    <xf numFmtId="0" fontId="16" fillId="0" borderId="0" xfId="1" applyFill="1" applyAlignment="1">
      <alignment horizontal="center"/>
    </xf>
    <xf numFmtId="0" fontId="14" fillId="0" borderId="0" xfId="0" applyFont="1" applyAlignment="1">
      <alignment horizontal="center"/>
    </xf>
    <xf numFmtId="0" fontId="16" fillId="0" borderId="0" xfId="1" applyAlignment="1">
      <alignment horizontal="left" vertical="center"/>
    </xf>
    <xf numFmtId="0" fontId="53" fillId="0" borderId="0" xfId="0" applyFont="1" applyAlignment="1">
      <alignment horizontal="left"/>
    </xf>
    <xf numFmtId="0" fontId="53" fillId="0" borderId="0" xfId="1" applyFont="1" applyAlignment="1">
      <alignment horizontal="left" vertical="center"/>
    </xf>
    <xf numFmtId="0" fontId="12" fillId="0" borderId="0" xfId="0" applyFont="1" applyAlignment="1">
      <alignment horizontal="center" wrapText="1"/>
    </xf>
    <xf numFmtId="0" fontId="0" fillId="0" borderId="88" xfId="0" applyBorder="1" applyAlignment="1">
      <alignment horizontal="center" wrapText="1"/>
    </xf>
    <xf numFmtId="0" fontId="55" fillId="0" borderId="88" xfId="0" applyFont="1" applyBorder="1" applyAlignment="1">
      <alignment horizontal="center" wrapText="1"/>
    </xf>
    <xf numFmtId="167" fontId="0" fillId="0" borderId="88" xfId="0" applyNumberFormat="1" applyBorder="1" applyAlignment="1">
      <alignment horizontal="center" wrapText="1"/>
    </xf>
    <xf numFmtId="0" fontId="55" fillId="0" borderId="89" xfId="0" applyFont="1" applyBorder="1" applyAlignment="1">
      <alignment horizontal="center" wrapText="1"/>
    </xf>
    <xf numFmtId="0" fontId="26" fillId="0" borderId="0" xfId="0" applyFont="1" applyAlignment="1">
      <alignment horizontal="left"/>
    </xf>
    <xf numFmtId="0" fontId="1" fillId="8" borderId="88" xfId="0" applyFont="1" applyFill="1" applyBorder="1" applyAlignment="1">
      <alignment horizontal="center" wrapText="1"/>
    </xf>
    <xf numFmtId="0" fontId="1" fillId="15" borderId="88" xfId="0" applyFont="1" applyFill="1" applyBorder="1" applyAlignment="1">
      <alignment horizontal="center" wrapText="1"/>
    </xf>
    <xf numFmtId="0" fontId="1" fillId="0" borderId="88" xfId="0" applyFont="1" applyBorder="1" applyAlignment="1">
      <alignment horizontal="center"/>
    </xf>
    <xf numFmtId="0" fontId="1" fillId="17" borderId="88" xfId="0" applyFont="1" applyFill="1" applyBorder="1" applyAlignment="1">
      <alignment horizontal="center" wrapText="1"/>
    </xf>
    <xf numFmtId="0" fontId="1" fillId="15" borderId="52" xfId="0" applyFont="1" applyFill="1" applyBorder="1" applyAlignment="1">
      <alignment horizontal="center" wrapText="1"/>
    </xf>
    <xf numFmtId="0" fontId="1" fillId="0" borderId="88" xfId="0" applyFont="1" applyBorder="1" applyAlignment="1">
      <alignment horizontal="center" wrapText="1"/>
    </xf>
    <xf numFmtId="0" fontId="47" fillId="0" borderId="88" xfId="0" applyFont="1" applyBorder="1" applyAlignment="1">
      <alignment horizontal="center"/>
    </xf>
    <xf numFmtId="0" fontId="56" fillId="0" borderId="88" xfId="0" applyFont="1" applyBorder="1" applyAlignment="1">
      <alignment horizontal="center"/>
    </xf>
    <xf numFmtId="0" fontId="0" fillId="0" borderId="11" xfId="0" applyBorder="1" applyAlignment="1">
      <alignment horizontal="center"/>
    </xf>
    <xf numFmtId="0" fontId="1" fillId="0" borderId="11" xfId="0" applyFont="1" applyBorder="1" applyAlignment="1">
      <alignment horizontal="center"/>
    </xf>
    <xf numFmtId="0" fontId="42" fillId="0" borderId="88" xfId="0" applyFont="1" applyBorder="1" applyAlignment="1">
      <alignment horizontal="center"/>
    </xf>
    <xf numFmtId="0" fontId="26" fillId="0" borderId="0" xfId="0" applyFont="1" applyAlignment="1">
      <alignment horizontal="center"/>
    </xf>
    <xf numFmtId="0" fontId="1" fillId="17" borderId="88" xfId="0" applyFont="1" applyFill="1" applyBorder="1" applyAlignment="1">
      <alignment horizontal="center"/>
    </xf>
    <xf numFmtId="0" fontId="57" fillId="0" borderId="62" xfId="0" applyFont="1" applyBorder="1" applyAlignment="1">
      <alignment horizontal="center"/>
    </xf>
    <xf numFmtId="0" fontId="57" fillId="0" borderId="60" xfId="0" applyFont="1" applyBorder="1" applyAlignment="1">
      <alignment horizontal="center"/>
    </xf>
    <xf numFmtId="0" fontId="0" fillId="0" borderId="67" xfId="0" quotePrefix="1" applyBorder="1" applyAlignment="1">
      <alignment horizontal="center"/>
    </xf>
    <xf numFmtId="0" fontId="1" fillId="0" borderId="54" xfId="0" quotePrefix="1" applyFont="1" applyBorder="1" applyAlignment="1">
      <alignment horizontal="center" wrapText="1"/>
    </xf>
    <xf numFmtId="0" fontId="1" fillId="0" borderId="27" xfId="0" applyFont="1" applyBorder="1" applyAlignment="1">
      <alignment vertical="center"/>
    </xf>
    <xf numFmtId="0" fontId="0" fillId="0" borderId="0" xfId="0" quotePrefix="1" applyAlignment="1">
      <alignment horizontal="center"/>
    </xf>
    <xf numFmtId="0" fontId="1" fillId="0" borderId="58" xfId="0" quotePrefix="1" applyFont="1" applyBorder="1" applyAlignment="1">
      <alignment horizontal="right"/>
    </xf>
    <xf numFmtId="0" fontId="0" fillId="0" borderId="90" xfId="0" applyBorder="1" applyAlignment="1">
      <alignment horizontal="center"/>
    </xf>
    <xf numFmtId="0" fontId="0" fillId="0" borderId="26" xfId="0" applyBorder="1" applyAlignment="1">
      <alignment horizontal="center"/>
    </xf>
    <xf numFmtId="0" fontId="1" fillId="0" borderId="91" xfId="0" applyFont="1" applyBorder="1" applyAlignment="1">
      <alignment horizontal="center"/>
    </xf>
    <xf numFmtId="0" fontId="0" fillId="0" borderId="14" xfId="0" applyBorder="1" applyAlignment="1">
      <alignment horizontal="center"/>
    </xf>
    <xf numFmtId="0" fontId="1" fillId="0" borderId="27"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32" xfId="0" quotePrefix="1" applyFont="1" applyBorder="1" applyAlignment="1">
      <alignment horizontal="right"/>
    </xf>
    <xf numFmtId="0" fontId="0" fillId="0" borderId="53" xfId="0" quotePrefix="1" applyBorder="1" applyAlignment="1">
      <alignment horizontal="center"/>
    </xf>
    <xf numFmtId="0" fontId="1" fillId="0" borderId="0" xfId="0" quotePrefix="1" applyFont="1" applyAlignment="1">
      <alignment horizontal="right"/>
    </xf>
    <xf numFmtId="0" fontId="0" fillId="0" borderId="70" xfId="0" quotePrefix="1" applyBorder="1" applyAlignment="1">
      <alignment horizontal="center"/>
    </xf>
    <xf numFmtId="0" fontId="1" fillId="0" borderId="58" xfId="0" quotePrefix="1" applyFont="1" applyBorder="1" applyAlignment="1">
      <alignment horizontal="left"/>
    </xf>
    <xf numFmtId="44" fontId="0" fillId="0" borderId="20" xfId="5" applyFont="1" applyBorder="1" applyAlignment="1">
      <alignment horizontal="center"/>
    </xf>
    <xf numFmtId="44" fontId="0" fillId="0" borderId="17" xfId="5" applyFont="1" applyBorder="1" applyAlignment="1">
      <alignment horizontal="center"/>
    </xf>
    <xf numFmtId="44" fontId="0" fillId="0" borderId="11" xfId="5" applyFont="1" applyBorder="1" applyAlignment="1">
      <alignment horizontal="center" wrapText="1"/>
    </xf>
    <xf numFmtId="0" fontId="16" fillId="0" borderId="0" xfId="1"/>
    <xf numFmtId="0" fontId="0" fillId="8" borderId="18" xfId="0" applyFill="1" applyBorder="1" applyAlignment="1">
      <alignment horizontal="left"/>
    </xf>
    <xf numFmtId="0" fontId="0" fillId="8" borderId="16" xfId="0" applyFill="1" applyBorder="1" applyAlignment="1">
      <alignment horizontal="left"/>
    </xf>
    <xf numFmtId="0" fontId="0" fillId="0" borderId="92" xfId="0" applyBorder="1" applyAlignment="1">
      <alignment horizontal="left"/>
    </xf>
    <xf numFmtId="0" fontId="0" fillId="0" borderId="92" xfId="0" applyBorder="1" applyAlignment="1">
      <alignment horizontal="left" wrapText="1"/>
    </xf>
    <xf numFmtId="0" fontId="1" fillId="15" borderId="92" xfId="0" applyFont="1" applyFill="1" applyBorder="1" applyAlignment="1">
      <alignment horizontal="center"/>
    </xf>
    <xf numFmtId="0" fontId="1" fillId="8" borderId="15" xfId="0" applyFont="1" applyFill="1" applyBorder="1" applyAlignment="1">
      <alignment horizontal="center"/>
    </xf>
    <xf numFmtId="0" fontId="1" fillId="8" borderId="13" xfId="0" applyFont="1" applyFill="1" applyBorder="1" applyAlignment="1">
      <alignment horizontal="center"/>
    </xf>
    <xf numFmtId="44" fontId="12" fillId="0" borderId="0" xfId="5" applyFont="1" applyBorder="1" applyAlignment="1">
      <alignment horizontal="center"/>
    </xf>
    <xf numFmtId="44" fontId="0" fillId="0" borderId="11" xfId="5" applyFont="1" applyBorder="1" applyAlignment="1">
      <alignment horizontal="center"/>
    </xf>
    <xf numFmtId="0" fontId="1" fillId="15" borderId="11" xfId="0" applyFont="1" applyFill="1" applyBorder="1" applyAlignment="1">
      <alignment horizontal="center"/>
    </xf>
    <xf numFmtId="0" fontId="1" fillId="0" borderId="93" xfId="0" applyFont="1" applyBorder="1" applyAlignment="1">
      <alignment horizontal="center"/>
    </xf>
    <xf numFmtId="0" fontId="0" fillId="0" borderId="99" xfId="0" applyBorder="1"/>
    <xf numFmtId="0" fontId="0" fillId="0" borderId="100" xfId="0" applyBorder="1"/>
    <xf numFmtId="0" fontId="0" fillId="0" borderId="101" xfId="0" applyBorder="1"/>
    <xf numFmtId="0" fontId="53" fillId="8" borderId="0" xfId="1" applyFont="1" applyFill="1" applyAlignment="1">
      <alignment horizontal="left" vertical="center"/>
    </xf>
    <xf numFmtId="0" fontId="53" fillId="8" borderId="0" xfId="0" applyFont="1" applyFill="1" applyAlignment="1">
      <alignment horizontal="left"/>
    </xf>
    <xf numFmtId="0" fontId="16" fillId="8" borderId="0" xfId="1" applyFill="1" applyAlignment="1">
      <alignment horizontal="left" vertical="center"/>
    </xf>
    <xf numFmtId="0" fontId="14" fillId="8" borderId="0" xfId="0" applyFont="1" applyFill="1" applyAlignment="1">
      <alignment horizontal="center"/>
    </xf>
    <xf numFmtId="0" fontId="9" fillId="8" borderId="0" xfId="0" applyFont="1" applyFill="1" applyAlignment="1">
      <alignment horizontal="left"/>
    </xf>
    <xf numFmtId="0" fontId="0" fillId="8" borderId="102" xfId="0" applyFill="1" applyBorder="1" applyAlignment="1">
      <alignment horizontal="left"/>
    </xf>
    <xf numFmtId="0" fontId="3" fillId="8" borderId="103" xfId="0" applyFont="1" applyFill="1" applyBorder="1" applyAlignment="1">
      <alignment horizontal="center"/>
    </xf>
    <xf numFmtId="0" fontId="3" fillId="8" borderId="89" xfId="0" applyFont="1" applyFill="1" applyBorder="1" applyAlignment="1">
      <alignment horizontal="center"/>
    </xf>
    <xf numFmtId="0" fontId="30" fillId="8" borderId="89" xfId="0" applyFont="1" applyFill="1" applyBorder="1" applyAlignment="1">
      <alignment horizontal="center"/>
    </xf>
    <xf numFmtId="0" fontId="0" fillId="8" borderId="89" xfId="0" applyFill="1" applyBorder="1" applyAlignment="1">
      <alignment horizontal="center"/>
    </xf>
    <xf numFmtId="0" fontId="12" fillId="18" borderId="27" xfId="4" applyFont="1" applyFill="1" applyBorder="1" applyAlignment="1">
      <alignment horizontal="center"/>
    </xf>
    <xf numFmtId="0" fontId="3" fillId="18" borderId="27" xfId="4" applyFont="1" applyFill="1" applyBorder="1"/>
    <xf numFmtId="0" fontId="28" fillId="18" borderId="27" xfId="4" applyFill="1" applyBorder="1" applyAlignment="1">
      <alignment horizontal="center"/>
    </xf>
    <xf numFmtId="0" fontId="28" fillId="18" borderId="27" xfId="4" applyFill="1" applyBorder="1"/>
    <xf numFmtId="0" fontId="0" fillId="8" borderId="97" xfId="0" applyFill="1" applyBorder="1"/>
    <xf numFmtId="0" fontId="0" fillId="8" borderId="98" xfId="0" applyFill="1" applyBorder="1"/>
    <xf numFmtId="0" fontId="12" fillId="8" borderId="0" xfId="0" applyFont="1" applyFill="1"/>
    <xf numFmtId="0" fontId="1" fillId="8" borderId="94" xfId="0" applyFont="1" applyFill="1" applyBorder="1"/>
    <xf numFmtId="0" fontId="1" fillId="8" borderId="95" xfId="0" applyFont="1" applyFill="1" applyBorder="1"/>
    <xf numFmtId="0" fontId="1" fillId="8" borderId="96" xfId="0" applyFont="1" applyFill="1" applyBorder="1"/>
    <xf numFmtId="0" fontId="36" fillId="3" borderId="0" xfId="6" applyFill="1" applyBorder="1"/>
    <xf numFmtId="0" fontId="36" fillId="3" borderId="87" xfId="6" applyFill="1"/>
    <xf numFmtId="0" fontId="9" fillId="3" borderId="0" xfId="6" applyFont="1" applyFill="1" applyBorder="1"/>
    <xf numFmtId="0" fontId="36" fillId="2" borderId="87" xfId="6" applyFill="1"/>
    <xf numFmtId="0" fontId="9" fillId="2" borderId="87" xfId="6" applyFont="1" applyFill="1"/>
    <xf numFmtId="0" fontId="1" fillId="14" borderId="27" xfId="4" applyFont="1" applyFill="1" applyBorder="1"/>
    <xf numFmtId="0" fontId="3" fillId="8" borderId="1" xfId="0" applyFont="1" applyFill="1" applyBorder="1" applyAlignment="1">
      <alignment horizontal="left"/>
    </xf>
    <xf numFmtId="0" fontId="3" fillId="8" borderId="2" xfId="0" applyFont="1" applyFill="1" applyBorder="1" applyAlignment="1">
      <alignment horizontal="center" vertical="center"/>
    </xf>
    <xf numFmtId="0" fontId="1" fillId="8" borderId="4" xfId="0" applyFont="1" applyFill="1" applyBorder="1" applyAlignment="1">
      <alignment horizontal="left"/>
    </xf>
    <xf numFmtId="0" fontId="1" fillId="8" borderId="0" xfId="0" applyFont="1" applyFill="1" applyAlignment="1">
      <alignment horizontal="center" vertical="center"/>
    </xf>
    <xf numFmtId="0" fontId="30" fillId="8" borderId="4" xfId="0" applyFont="1" applyFill="1" applyBorder="1" applyAlignment="1">
      <alignment horizontal="left"/>
    </xf>
    <xf numFmtId="0" fontId="30" fillId="8" borderId="0" xfId="0" applyFont="1" applyFill="1" applyAlignment="1">
      <alignment horizontal="center" vertical="center"/>
    </xf>
    <xf numFmtId="0" fontId="0" fillId="8" borderId="4" xfId="0" applyFill="1" applyBorder="1" applyAlignment="1">
      <alignment horizontal="left"/>
    </xf>
    <xf numFmtId="0" fontId="0" fillId="8" borderId="0" xfId="0" applyFill="1" applyAlignment="1">
      <alignment horizontal="center" vertical="center"/>
    </xf>
    <xf numFmtId="0" fontId="0" fillId="8" borderId="4" xfId="0" applyFill="1" applyBorder="1" applyAlignment="1">
      <alignment horizontal="center" vertical="center"/>
    </xf>
    <xf numFmtId="0" fontId="0" fillId="2" borderId="27" xfId="0" applyFill="1" applyBorder="1" applyAlignment="1">
      <alignment vertical="center"/>
    </xf>
    <xf numFmtId="0" fontId="0" fillId="0" borderId="104" xfId="0" applyBorder="1"/>
    <xf numFmtId="0" fontId="1" fillId="0" borderId="104" xfId="0" applyFont="1" applyBorder="1"/>
    <xf numFmtId="0" fontId="0" fillId="8" borderId="104" xfId="0" applyFill="1" applyBorder="1" applyAlignment="1">
      <alignment horizontal="right"/>
    </xf>
    <xf numFmtId="0" fontId="1" fillId="0" borderId="104" xfId="0" applyFont="1" applyBorder="1" applyAlignment="1">
      <alignment horizontal="center"/>
    </xf>
    <xf numFmtId="0" fontId="0" fillId="0" borderId="104" xfId="0" applyBorder="1" applyAlignment="1">
      <alignment horizontal="center"/>
    </xf>
    <xf numFmtId="0" fontId="1" fillId="8" borderId="104" xfId="0" applyFont="1" applyFill="1" applyBorder="1" applyAlignment="1">
      <alignment horizontal="right"/>
    </xf>
    <xf numFmtId="0" fontId="1" fillId="0" borderId="104" xfId="0" applyFont="1" applyBorder="1" applyAlignment="1">
      <alignment horizontal="center" wrapText="1"/>
    </xf>
    <xf numFmtId="0" fontId="0" fillId="8" borderId="104" xfId="0" applyFill="1" applyBorder="1" applyAlignment="1">
      <alignment horizontal="right" wrapText="1"/>
    </xf>
    <xf numFmtId="0" fontId="0" fillId="0" borderId="104" xfId="0" applyBorder="1" applyAlignment="1">
      <alignment vertical="center"/>
    </xf>
    <xf numFmtId="0" fontId="0" fillId="6" borderId="104" xfId="0" applyFill="1" applyBorder="1" applyAlignment="1">
      <alignment horizontal="center"/>
    </xf>
    <xf numFmtId="0" fontId="0" fillId="6" borderId="104" xfId="0" applyFill="1" applyBorder="1" applyAlignment="1">
      <alignment horizontal="center" vertical="center"/>
    </xf>
    <xf numFmtId="0" fontId="3" fillId="2" borderId="0" xfId="0" applyFont="1" applyFill="1" applyAlignment="1">
      <alignment horizontal="center"/>
    </xf>
    <xf numFmtId="0" fontId="34" fillId="5" borderId="27" xfId="0" applyFont="1" applyFill="1" applyBorder="1"/>
    <xf numFmtId="0" fontId="3" fillId="5" borderId="27" xfId="0" applyFont="1" applyFill="1" applyBorder="1"/>
    <xf numFmtId="0" fontId="1" fillId="0" borderId="0" xfId="0" applyFont="1" applyAlignment="1">
      <alignment horizontal="right" wrapText="1"/>
    </xf>
    <xf numFmtId="0" fontId="59" fillId="0" borderId="0" xfId="0" applyFont="1"/>
    <xf numFmtId="0" fontId="46" fillId="0" borderId="0" xfId="0" applyFont="1"/>
    <xf numFmtId="0" fontId="60" fillId="0" borderId="0" xfId="0" applyFont="1"/>
    <xf numFmtId="0" fontId="62" fillId="0" borderId="0" xfId="0" applyFont="1" applyAlignment="1">
      <alignment horizontal="right" wrapText="1"/>
    </xf>
    <xf numFmtId="0" fontId="56" fillId="0" borderId="0" xfId="0" applyFont="1"/>
    <xf numFmtId="0" fontId="1" fillId="0" borderId="0" xfId="0" applyFont="1" applyAlignment="1">
      <alignment wrapText="1"/>
    </xf>
  </cellXfs>
  <cellStyles count="7">
    <cellStyle name="20% - Accent5" xfId="4" builtinId="46"/>
    <cellStyle name="Check Cell" xfId="3" builtinId="23"/>
    <cellStyle name="Currency" xfId="5" builtinId="4"/>
    <cellStyle name="Heading 3" xfId="6" builtinId="18"/>
    <cellStyle name="Hyperlink" xfId="1" builtinId="8"/>
    <cellStyle name="Normal" xfId="0" builtinId="0"/>
    <cellStyle name="Title" xfId="2" builtinId="15"/>
  </cellStyles>
  <dxfs count="74">
    <dxf>
      <fill>
        <patternFill>
          <bgColor theme="8" tint="0.79998168889431442"/>
        </patternFill>
      </fill>
    </dxf>
    <dxf>
      <fill>
        <patternFill>
          <bgColor theme="8" tint="0.79998168889431442"/>
        </patternFill>
      </fill>
    </dxf>
    <dxf>
      <fill>
        <patternFill>
          <bgColor theme="8" tint="0.79998168889431442"/>
        </patternFill>
      </fill>
    </dxf>
    <dxf>
      <fill>
        <patternFill>
          <bgColor theme="9" tint="0.79998168889431442"/>
        </patternFill>
      </fill>
    </dxf>
    <dxf>
      <fill>
        <patternFill>
          <bgColor rgb="FFECFDC3"/>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theme="3" tint="-0.499984740745262"/>
      </font>
      <fill>
        <patternFill>
          <bgColor theme="8" tint="0.79998168889431442"/>
        </patternFill>
      </fill>
    </dxf>
    <dxf>
      <fill>
        <patternFill>
          <bgColor rgb="FFF0F8FA"/>
        </patternFill>
      </fill>
    </dxf>
    <dxf>
      <font>
        <color theme="3" tint="-0.499984740745262"/>
      </font>
      <fill>
        <patternFill>
          <bgColor theme="8" tint="0.79998168889431442"/>
        </patternFill>
      </fill>
    </dxf>
    <dxf>
      <fill>
        <patternFill>
          <bgColor rgb="FFF0F8FA"/>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fgColor auto="1"/>
          <bgColor rgb="FF99FF66"/>
        </patternFill>
      </fill>
    </dxf>
    <dxf>
      <fill>
        <patternFill>
          <bgColor rgb="FF99FF66"/>
        </patternFill>
      </fill>
    </dxf>
    <dxf>
      <fill>
        <patternFill>
          <bgColor rgb="FF99FF66"/>
        </patternFill>
      </fill>
    </dxf>
    <dxf>
      <fill>
        <patternFill>
          <bgColor rgb="FF99FF66"/>
        </patternFill>
      </fill>
    </dxf>
    <dxf>
      <fill>
        <patternFill>
          <bgColor theme="5" tint="0.59996337778862885"/>
        </patternFill>
      </fill>
    </dxf>
    <dxf>
      <fill>
        <patternFill>
          <bgColor rgb="FF99FF66"/>
        </patternFill>
      </fill>
    </dxf>
    <dxf>
      <fill>
        <patternFill>
          <bgColor rgb="FF99FF66"/>
        </patternFill>
      </fill>
    </dxf>
    <dxf>
      <fill>
        <patternFill>
          <bgColor rgb="FF99FF66"/>
        </patternFill>
      </fill>
    </dxf>
    <dxf>
      <fill>
        <patternFill>
          <bgColor rgb="FF99FF66"/>
        </patternFill>
      </fill>
    </dxf>
    <dxf>
      <fill>
        <patternFill>
          <bgColor rgb="FF99FF66"/>
        </patternFill>
      </fill>
    </dxf>
    <dxf>
      <font>
        <b/>
        <i val="0"/>
      </font>
      <fill>
        <patternFill>
          <bgColor theme="9" tint="0.79998168889431442"/>
        </patternFill>
      </fill>
    </dxf>
    <dxf>
      <fill>
        <patternFill>
          <bgColor theme="0" tint="-4.9989318521683403E-2"/>
        </patternFill>
      </fill>
    </dxf>
    <dxf>
      <fill>
        <patternFill>
          <bgColor theme="7" tint="0.79998168889431442"/>
        </patternFill>
      </fill>
    </dxf>
    <dxf>
      <font>
        <b/>
        <i val="0"/>
      </font>
      <fill>
        <patternFill>
          <bgColor theme="9" tint="0.79998168889431442"/>
        </patternFill>
      </fill>
    </dxf>
    <dxf>
      <font>
        <b/>
        <i val="0"/>
      </font>
      <fill>
        <patternFill>
          <bgColor theme="7" tint="0.79998168889431442"/>
        </patternFill>
      </fill>
    </dxf>
    <dxf>
      <fill>
        <patternFill>
          <bgColor theme="7" tint="0.79998168889431442"/>
        </patternFill>
      </fill>
    </dxf>
    <dxf>
      <fill>
        <patternFill>
          <bgColor theme="7" tint="0.79998168889431442"/>
        </patternFill>
      </fill>
    </dxf>
    <dxf>
      <fill>
        <patternFill>
          <bgColor theme="0" tint="-4.9989318521683403E-2"/>
        </patternFill>
      </fill>
    </dxf>
    <dxf>
      <font>
        <b/>
        <i val="0"/>
      </font>
      <fill>
        <patternFill>
          <bgColor theme="9" tint="0.79998168889431442"/>
        </patternFill>
      </fill>
    </dxf>
    <dxf>
      <fill>
        <patternFill>
          <bgColor theme="0" tint="-4.9989318521683403E-2"/>
        </patternFill>
      </fill>
    </dxf>
    <dxf>
      <font>
        <b/>
        <i val="0"/>
      </font>
      <fill>
        <patternFill>
          <bgColor theme="9" tint="0.79998168889431442"/>
        </patternFill>
      </fill>
    </dxf>
    <dxf>
      <fill>
        <patternFill>
          <bgColor theme="7" tint="0.79998168889431442"/>
        </patternFill>
      </fill>
    </dxf>
    <dxf>
      <fill>
        <patternFill>
          <bgColor theme="7" tint="0.79998168889431442"/>
        </patternFill>
      </fill>
    </dxf>
    <dxf>
      <fill>
        <patternFill>
          <bgColor theme="0" tint="-4.9989318521683403E-2"/>
        </patternFill>
      </fill>
    </dxf>
    <dxf>
      <font>
        <b/>
        <i val="0"/>
      </font>
      <fill>
        <patternFill>
          <bgColor theme="9" tint="0.79998168889431442"/>
        </patternFill>
      </fill>
    </dxf>
    <dxf>
      <fill>
        <patternFill>
          <bgColor theme="7" tint="0.79998168889431442"/>
        </patternFill>
      </fill>
    </dxf>
    <dxf>
      <fill>
        <patternFill>
          <bgColor theme="7" tint="0.79998168889431442"/>
        </patternFill>
      </fill>
    </dxf>
    <dxf>
      <font>
        <color rgb="FF9C5700"/>
      </font>
      <fill>
        <patternFill>
          <bgColor rgb="FFFFEB9C"/>
        </patternFill>
      </fill>
    </dxf>
    <dxf>
      <fill>
        <patternFill>
          <bgColor theme="0" tint="-4.9989318521683403E-2"/>
        </patternFill>
      </fill>
    </dxf>
    <dxf>
      <font>
        <b/>
        <i val="0"/>
      </font>
      <fill>
        <patternFill>
          <bgColor theme="9" tint="0.79998168889431442"/>
        </patternFill>
      </fill>
    </dxf>
    <dxf>
      <fill>
        <patternFill>
          <bgColor theme="7" tint="0.79998168889431442"/>
        </patternFill>
      </fill>
    </dxf>
    <dxf>
      <fill>
        <patternFill>
          <bgColor theme="0" tint="-4.9989318521683403E-2"/>
        </patternFill>
      </fill>
    </dxf>
    <dxf>
      <fill>
        <patternFill>
          <bgColor theme="9" tint="0.79998168889431442"/>
        </patternFill>
      </fill>
    </dxf>
    <dxf>
      <fill>
        <patternFill>
          <bgColor theme="7" tint="0.79998168889431442"/>
        </patternFill>
      </fill>
    </dxf>
    <dxf>
      <fill>
        <patternFill>
          <bgColor theme="0" tint="-4.9989318521683403E-2"/>
        </patternFill>
      </fill>
      <border>
        <left style="thin">
          <color auto="1"/>
        </left>
        <right style="thin">
          <color auto="1"/>
        </right>
        <top style="thin">
          <color auto="1"/>
        </top>
        <bottom style="thin">
          <color auto="1"/>
        </bottom>
      </border>
    </dxf>
    <dxf>
      <font>
        <b/>
        <i val="0"/>
      </font>
      <fill>
        <patternFill>
          <bgColor theme="9" tint="0.79998168889431442"/>
        </patternFill>
      </fill>
      <border>
        <left style="thin">
          <color auto="1"/>
        </left>
        <right style="thin">
          <color auto="1"/>
        </right>
        <top style="thin">
          <color auto="1"/>
        </top>
        <bottom style="thin">
          <color auto="1"/>
        </bottom>
      </border>
    </dxf>
    <dxf>
      <fill>
        <patternFill>
          <bgColor theme="7" tint="0.79998168889431442"/>
        </patternFill>
      </fill>
      <border>
        <left style="thin">
          <color auto="1"/>
        </left>
        <right style="thin">
          <color auto="1"/>
        </right>
        <top style="thin">
          <color auto="1"/>
        </top>
        <bottom style="thin">
          <color auto="1"/>
        </bottom>
      </border>
    </dxf>
    <dxf>
      <fill>
        <patternFill>
          <bgColor theme="0" tint="-4.9989318521683403E-2"/>
        </patternFill>
      </fill>
    </dxf>
    <dxf>
      <font>
        <b/>
        <i val="0"/>
      </font>
      <fill>
        <patternFill>
          <bgColor theme="9" tint="0.79998168889431442"/>
        </patternFill>
      </fill>
    </dxf>
    <dxf>
      <fill>
        <patternFill>
          <bgColor theme="7" tint="0.79998168889431442"/>
        </patternFill>
      </fill>
    </dxf>
    <dxf>
      <font>
        <b/>
        <i val="0"/>
      </font>
      <fill>
        <patternFill>
          <bgColor theme="9" tint="0.79998168889431442"/>
        </patternFill>
      </fill>
      <border>
        <left style="thin">
          <color auto="1"/>
        </left>
        <right style="thin">
          <color auto="1"/>
        </right>
        <top style="thin">
          <color auto="1"/>
        </top>
        <bottom style="thin">
          <color auto="1"/>
        </bottom>
      </border>
    </dxf>
    <dxf>
      <fill>
        <patternFill>
          <bgColor theme="7" tint="0.79998168889431442"/>
        </patternFill>
      </fill>
      <border>
        <left style="thin">
          <color auto="1"/>
        </left>
        <right style="thin">
          <color auto="1"/>
        </right>
        <top style="thin">
          <color auto="1"/>
        </top>
        <bottom style="thin">
          <color auto="1"/>
        </bottom>
      </border>
    </dxf>
    <dxf>
      <fill>
        <patternFill>
          <bgColor theme="0" tint="-4.9989318521683403E-2"/>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s>
  <tableStyles count="0" defaultTableStyle="TableStyleMedium2" defaultPivotStyle="PivotStyleLight16"/>
  <colors>
    <mruColors>
      <color rgb="FF99FF66"/>
      <color rgb="FFECFDC3"/>
      <color rgb="FFF0F8FA"/>
      <color rgb="FF90F478"/>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2 Instructions'!A1"/><Relationship Id="rId2" Type="http://schemas.openxmlformats.org/officeDocument/2006/relationships/hyperlink" Target="#Menu!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hyperlink" Target="#Menu!A1"/><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hyperlink" Target="#'A3 Exercise'!A1"/><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276226</xdr:colOff>
      <xdr:row>31</xdr:row>
      <xdr:rowOff>38100</xdr:rowOff>
    </xdr:from>
    <xdr:to>
      <xdr:col>7</xdr:col>
      <xdr:colOff>707750</xdr:colOff>
      <xdr:row>43</xdr:row>
      <xdr:rowOff>44450</xdr:rowOff>
    </xdr:to>
    <xdr:pic>
      <xdr:nvPicPr>
        <xdr:cNvPr id="2" name="Picture 1" descr="Screenshot of home ribbon, clipboard section. The dropdown for the paste option has been activated, and the paste values section of the dropdown and the first option under that section are highlighted.">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srcRect b="22307"/>
        <a:stretch/>
      </xdr:blipFill>
      <xdr:spPr>
        <a:xfrm>
          <a:off x="8534401" y="6267450"/>
          <a:ext cx="1193524" cy="2295525"/>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12</xdr:col>
      <xdr:colOff>9525</xdr:colOff>
      <xdr:row>1</xdr:row>
      <xdr:rowOff>19051</xdr:rowOff>
    </xdr:to>
    <xdr:pic>
      <xdr:nvPicPr>
        <xdr:cNvPr id="6" name="Picture 5">
          <a:extLst>
            <a:ext uri="{FF2B5EF4-FFF2-40B4-BE49-F238E27FC236}">
              <a16:creationId xmlns:a16="http://schemas.microsoft.com/office/drawing/2014/main" id="{00000000-0008-0000-1700-000006000000}"/>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a:srcRect l="2687" t="15627" r="1778" b="6238"/>
        <a:stretch/>
      </xdr:blipFill>
      <xdr:spPr>
        <a:xfrm>
          <a:off x="552450" y="19050"/>
          <a:ext cx="3048000" cy="238126"/>
        </a:xfrm>
        <a:prstGeom prst="rect">
          <a:avLst/>
        </a:prstGeom>
      </xdr:spPr>
    </xdr:pic>
    <xdr:clientData/>
  </xdr:twoCellAnchor>
  <xdr:twoCellAnchor editAs="oneCell">
    <xdr:from>
      <xdr:col>1</xdr:col>
      <xdr:colOff>0</xdr:colOff>
      <xdr:row>0</xdr:row>
      <xdr:rowOff>9524</xdr:rowOff>
    </xdr:from>
    <xdr:to>
      <xdr:col>6</xdr:col>
      <xdr:colOff>133350</xdr:colOff>
      <xdr:row>1</xdr:row>
      <xdr:rowOff>47624</xdr:rowOff>
    </xdr:to>
    <xdr:pic>
      <xdr:nvPicPr>
        <xdr:cNvPr id="7" name="Picture 6" descr="Main menu button">
          <a:hlinkClick xmlns:r="http://schemas.openxmlformats.org/officeDocument/2006/relationships" r:id="rId2"/>
          <a:extLst>
            <a:ext uri="{FF2B5EF4-FFF2-40B4-BE49-F238E27FC236}">
              <a16:creationId xmlns:a16="http://schemas.microsoft.com/office/drawing/2014/main" id="{00000000-0008-0000-1700-000007000000}"/>
            </a:ext>
          </a:extLst>
        </xdr:cNvPr>
        <xdr:cNvPicPr>
          <a:picLocks noChangeAspect="1"/>
        </xdr:cNvPicPr>
      </xdr:nvPicPr>
      <xdr:blipFill rotWithShape="1">
        <a:blip xmlns:r="http://schemas.openxmlformats.org/officeDocument/2006/relationships" r:embed="rId1"/>
        <a:srcRect l="2687" t="15627" r="49844" b="-6263"/>
        <a:stretch/>
      </xdr:blipFill>
      <xdr:spPr>
        <a:xfrm>
          <a:off x="552450" y="9524"/>
          <a:ext cx="1514475" cy="276225"/>
        </a:xfrm>
        <a:prstGeom prst="rect">
          <a:avLst/>
        </a:prstGeom>
      </xdr:spPr>
    </xdr:pic>
    <xdr:clientData/>
  </xdr:twoCellAnchor>
  <xdr:twoCellAnchor editAs="oneCell">
    <xdr:from>
      <xdr:col>6</xdr:col>
      <xdr:colOff>133349</xdr:colOff>
      <xdr:row>0</xdr:row>
      <xdr:rowOff>9525</xdr:rowOff>
    </xdr:from>
    <xdr:to>
      <xdr:col>12</xdr:col>
      <xdr:colOff>9524</xdr:colOff>
      <xdr:row>1</xdr:row>
      <xdr:rowOff>9526</xdr:rowOff>
    </xdr:to>
    <xdr:pic>
      <xdr:nvPicPr>
        <xdr:cNvPr id="8" name="Picture 7" descr="Instructions button">
          <a:hlinkClick xmlns:r="http://schemas.openxmlformats.org/officeDocument/2006/relationships" r:id="rId3"/>
          <a:extLst>
            <a:ext uri="{FF2B5EF4-FFF2-40B4-BE49-F238E27FC236}">
              <a16:creationId xmlns:a16="http://schemas.microsoft.com/office/drawing/2014/main" id="{00000000-0008-0000-1700-000008000000}"/>
            </a:ext>
          </a:extLst>
        </xdr:cNvPr>
        <xdr:cNvPicPr>
          <a:picLocks noChangeAspect="1"/>
        </xdr:cNvPicPr>
      </xdr:nvPicPr>
      <xdr:blipFill rotWithShape="1">
        <a:blip xmlns:r="http://schemas.openxmlformats.org/officeDocument/2006/relationships" r:embed="rId1"/>
        <a:srcRect l="50156" t="15627" r="1778" b="6238"/>
        <a:stretch/>
      </xdr:blipFill>
      <xdr:spPr>
        <a:xfrm>
          <a:off x="2066924" y="9525"/>
          <a:ext cx="1533525" cy="2381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31750</xdr:colOff>
      <xdr:row>26</xdr:row>
      <xdr:rowOff>69850</xdr:rowOff>
    </xdr:from>
    <xdr:ext cx="3892750" cy="933498"/>
    <xdr:pic>
      <xdr:nvPicPr>
        <xdr:cNvPr id="2" name="Picture 1" descr="Table of random famous people and first names. The left column is identified with &quot;1&quot; and contains first names, adjectives, and last names. The second column is identified with &quot;2&quot; and is blank, with a heading of &quot;First name&quot;. In the first two rows under the heading of the blank column are identified with &quot;3&quot; and contain the first name of celebrities.">
          <a:extLst>
            <a:ext uri="{FF2B5EF4-FFF2-40B4-BE49-F238E27FC236}">
              <a16:creationId xmlns:a16="http://schemas.microsoft.com/office/drawing/2014/main" id="{0E0E4D6A-1CB4-4CB8-B6A5-D2F20E348792}"/>
            </a:ext>
          </a:extLst>
        </xdr:cNvPr>
        <xdr:cNvPicPr>
          <a:picLocks noChangeAspect="1"/>
        </xdr:cNvPicPr>
      </xdr:nvPicPr>
      <xdr:blipFill>
        <a:blip xmlns:r="http://schemas.openxmlformats.org/officeDocument/2006/relationships" r:embed="rId1"/>
        <a:stretch>
          <a:fillRect/>
        </a:stretch>
      </xdr:blipFill>
      <xdr:spPr>
        <a:xfrm>
          <a:off x="1250950" y="2279650"/>
          <a:ext cx="3892750" cy="933498"/>
        </a:xfrm>
        <a:prstGeom prst="rect">
          <a:avLst/>
        </a:prstGeom>
      </xdr:spPr>
    </xdr:pic>
    <xdr:clientData/>
  </xdr:oneCellAnchor>
  <xdr:oneCellAnchor>
    <xdr:from>
      <xdr:col>2</xdr:col>
      <xdr:colOff>34926</xdr:colOff>
      <xdr:row>32</xdr:row>
      <xdr:rowOff>104775</xdr:rowOff>
    </xdr:from>
    <xdr:ext cx="1336675" cy="666750"/>
    <xdr:pic>
      <xdr:nvPicPr>
        <xdr:cNvPr id="3" name="Picture 2" descr="First name column. The first row under the heading of &quot;First Name&quot; says &quot;Avril&quot; and is identified with a 1. The second row says &quot;Bryan&quot; and is identified with a 1. The bottom right corner of the selection is identified with a 2.&#10;">
          <a:extLst>
            <a:ext uri="{FF2B5EF4-FFF2-40B4-BE49-F238E27FC236}">
              <a16:creationId xmlns:a16="http://schemas.microsoft.com/office/drawing/2014/main" id="{0EBAE5CF-B337-4F8D-8162-C2D1815A07AE}"/>
            </a:ext>
          </a:extLst>
        </xdr:cNvPr>
        <xdr:cNvPicPr>
          <a:picLocks noChangeAspect="1"/>
        </xdr:cNvPicPr>
      </xdr:nvPicPr>
      <xdr:blipFill>
        <a:blip xmlns:r="http://schemas.openxmlformats.org/officeDocument/2006/relationships" r:embed="rId2"/>
        <a:stretch>
          <a:fillRect/>
        </a:stretch>
      </xdr:blipFill>
      <xdr:spPr>
        <a:xfrm>
          <a:off x="1254126" y="3419475"/>
          <a:ext cx="1336675" cy="666750"/>
        </a:xfrm>
        <a:prstGeom prst="rect">
          <a:avLst/>
        </a:prstGeom>
      </xdr:spPr>
    </xdr:pic>
    <xdr:clientData/>
  </xdr:oneCellAnchor>
  <xdr:oneCellAnchor>
    <xdr:from>
      <xdr:col>3</xdr:col>
      <xdr:colOff>523875</xdr:colOff>
      <xdr:row>32</xdr:row>
      <xdr:rowOff>25400</xdr:rowOff>
    </xdr:from>
    <xdr:ext cx="546177" cy="444562"/>
    <xdr:pic>
      <xdr:nvPicPr>
        <xdr:cNvPr id="4" name="Picture 3" descr="Auto Fill Options &#10;icon, identified with a 3.">
          <a:extLst>
            <a:ext uri="{FF2B5EF4-FFF2-40B4-BE49-F238E27FC236}">
              <a16:creationId xmlns:a16="http://schemas.microsoft.com/office/drawing/2014/main" id="{72FC562D-5169-4096-AACD-8B4FD2FA46A3}"/>
            </a:ext>
          </a:extLst>
        </xdr:cNvPr>
        <xdr:cNvPicPr>
          <a:picLocks noChangeAspect="1"/>
        </xdr:cNvPicPr>
      </xdr:nvPicPr>
      <xdr:blipFill>
        <a:blip xmlns:r="http://schemas.openxmlformats.org/officeDocument/2006/relationships" r:embed="rId3"/>
        <a:stretch>
          <a:fillRect/>
        </a:stretch>
      </xdr:blipFill>
      <xdr:spPr>
        <a:xfrm>
          <a:off x="2352675" y="3340100"/>
          <a:ext cx="546177" cy="444562"/>
        </a:xfrm>
        <a:prstGeom prst="rect">
          <a:avLst/>
        </a:prstGeom>
      </xdr:spPr>
    </xdr:pic>
    <xdr:clientData/>
  </xdr:oneCellAnchor>
  <xdr:oneCellAnchor>
    <xdr:from>
      <xdr:col>4</xdr:col>
      <xdr:colOff>219075</xdr:colOff>
      <xdr:row>32</xdr:row>
      <xdr:rowOff>9525</xdr:rowOff>
    </xdr:from>
    <xdr:ext cx="1609725" cy="876982"/>
    <xdr:pic>
      <xdr:nvPicPr>
        <xdr:cNvPr id="5" name="Picture 4" descr="Auto Fill Options Menu. The Flash Fill option is identified with 4.">
          <a:extLst>
            <a:ext uri="{FF2B5EF4-FFF2-40B4-BE49-F238E27FC236}">
              <a16:creationId xmlns:a16="http://schemas.microsoft.com/office/drawing/2014/main" id="{FEF5FBDC-C543-4B6E-9FAB-33C4A468859E}"/>
            </a:ext>
          </a:extLst>
        </xdr:cNvPr>
        <xdr:cNvPicPr>
          <a:picLocks noChangeAspect="1"/>
        </xdr:cNvPicPr>
      </xdr:nvPicPr>
      <xdr:blipFill>
        <a:blip xmlns:r="http://schemas.openxmlformats.org/officeDocument/2006/relationships" r:embed="rId4"/>
        <a:stretch>
          <a:fillRect/>
        </a:stretch>
      </xdr:blipFill>
      <xdr:spPr>
        <a:xfrm>
          <a:off x="8629650" y="6791325"/>
          <a:ext cx="1609725" cy="876982"/>
        </a:xfrm>
        <a:prstGeom prst="rect">
          <a:avLst/>
        </a:prstGeom>
      </xdr:spPr>
    </xdr:pic>
    <xdr:clientData/>
  </xdr:oneCellAnchor>
  <xdr:oneCellAnchor>
    <xdr:from>
      <xdr:col>2</xdr:col>
      <xdr:colOff>19050</xdr:colOff>
      <xdr:row>38</xdr:row>
      <xdr:rowOff>38100</xdr:rowOff>
    </xdr:from>
    <xdr:ext cx="1358970" cy="495325"/>
    <xdr:pic>
      <xdr:nvPicPr>
        <xdr:cNvPr id="6" name="Picture 5" descr="The last row with content in the blank column is higlighted, and there is a note saying to do Ctrl-E.">
          <a:extLst>
            <a:ext uri="{FF2B5EF4-FFF2-40B4-BE49-F238E27FC236}">
              <a16:creationId xmlns:a16="http://schemas.microsoft.com/office/drawing/2014/main" id="{0F708BAA-7EF8-4657-AB81-2A50225901A2}"/>
            </a:ext>
          </a:extLst>
        </xdr:cNvPr>
        <xdr:cNvPicPr>
          <a:picLocks noChangeAspect="1"/>
        </xdr:cNvPicPr>
      </xdr:nvPicPr>
      <xdr:blipFill>
        <a:blip xmlns:r="http://schemas.openxmlformats.org/officeDocument/2006/relationships" r:embed="rId5"/>
        <a:stretch>
          <a:fillRect/>
        </a:stretch>
      </xdr:blipFill>
      <xdr:spPr>
        <a:xfrm>
          <a:off x="6467475" y="7962900"/>
          <a:ext cx="1358970" cy="495325"/>
        </a:xfrm>
        <a:prstGeom prst="rect">
          <a:avLst/>
        </a:prstGeom>
      </xdr:spPr>
    </xdr:pic>
    <xdr:clientData/>
  </xdr:oneCellAnchor>
  <xdr:twoCellAnchor editAs="oneCell">
    <xdr:from>
      <xdr:col>1</xdr:col>
      <xdr:colOff>1504950</xdr:colOff>
      <xdr:row>0</xdr:row>
      <xdr:rowOff>28575</xdr:rowOff>
    </xdr:from>
    <xdr:to>
      <xdr:col>1</xdr:col>
      <xdr:colOff>3092450</xdr:colOff>
      <xdr:row>1</xdr:row>
      <xdr:rowOff>85726</xdr:rowOff>
    </xdr:to>
    <xdr:pic>
      <xdr:nvPicPr>
        <xdr:cNvPr id="8" name="Picture 7">
          <a:hlinkClick xmlns:r="http://schemas.openxmlformats.org/officeDocument/2006/relationships" r:id="rId6"/>
          <a:extLst>
            <a:ext uri="{FF2B5EF4-FFF2-40B4-BE49-F238E27FC236}">
              <a16:creationId xmlns:a16="http://schemas.microsoft.com/office/drawing/2014/main" id="{8C272CB3-F82F-4D3B-916B-FF96CBDF450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486" b="1486"/>
        <a:stretch/>
      </xdr:blipFill>
      <xdr:spPr>
        <a:xfrm>
          <a:off x="2025650" y="28575"/>
          <a:ext cx="1590675" cy="238126"/>
        </a:xfrm>
        <a:prstGeom prst="rect">
          <a:avLst/>
        </a:prstGeom>
      </xdr:spPr>
    </xdr:pic>
    <xdr:clientData/>
  </xdr:twoCellAnchor>
  <xdr:twoCellAnchor editAs="oneCell">
    <xdr:from>
      <xdr:col>0</xdr:col>
      <xdr:colOff>511175</xdr:colOff>
      <xdr:row>0</xdr:row>
      <xdr:rowOff>28575</xdr:rowOff>
    </xdr:from>
    <xdr:to>
      <xdr:col>1</xdr:col>
      <xdr:colOff>1549400</xdr:colOff>
      <xdr:row>1</xdr:row>
      <xdr:rowOff>123825</xdr:rowOff>
    </xdr:to>
    <xdr:pic>
      <xdr:nvPicPr>
        <xdr:cNvPr id="9" name="Picture 8" descr="Main menu button">
          <a:hlinkClick xmlns:r="http://schemas.openxmlformats.org/officeDocument/2006/relationships" r:id="rId8"/>
          <a:extLst>
            <a:ext uri="{FF2B5EF4-FFF2-40B4-BE49-F238E27FC236}">
              <a16:creationId xmlns:a16="http://schemas.microsoft.com/office/drawing/2014/main" id="{A2AD9DC1-59BB-4247-975C-28D818658683}"/>
            </a:ext>
          </a:extLst>
        </xdr:cNvPr>
        <xdr:cNvPicPr>
          <a:picLocks noChangeAspect="1"/>
        </xdr:cNvPicPr>
      </xdr:nvPicPr>
      <xdr:blipFill rotWithShape="1">
        <a:blip xmlns:r="http://schemas.openxmlformats.org/officeDocument/2006/relationships" r:embed="rId9"/>
        <a:srcRect l="2687" t="15627" r="49844" b="-6263"/>
        <a:stretch/>
      </xdr:blipFill>
      <xdr:spPr>
        <a:xfrm>
          <a:off x="511175" y="28575"/>
          <a:ext cx="1562100" cy="276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523875</xdr:colOff>
      <xdr:row>26</xdr:row>
      <xdr:rowOff>32886</xdr:rowOff>
    </xdr:from>
    <xdr:to>
      <xdr:col>4</xdr:col>
      <xdr:colOff>1181100</xdr:colOff>
      <xdr:row>30</xdr:row>
      <xdr:rowOff>141739</xdr:rowOff>
    </xdr:to>
    <xdr:pic>
      <xdr:nvPicPr>
        <xdr:cNvPr id="2" name="Picture 1" descr="Screenshot of data ribbon, data tools section. The remove duplicates option is highlighted.">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4086225" y="5357361"/>
          <a:ext cx="2219325" cy="877203"/>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657225</xdr:colOff>
      <xdr:row>51</xdr:row>
      <xdr:rowOff>180975</xdr:rowOff>
    </xdr:from>
    <xdr:to>
      <xdr:col>4</xdr:col>
      <xdr:colOff>923696</xdr:colOff>
      <xdr:row>56</xdr:row>
      <xdr:rowOff>171332</xdr:rowOff>
    </xdr:to>
    <xdr:pic>
      <xdr:nvPicPr>
        <xdr:cNvPr id="3" name="Picture 2" descr="Screenshot of home ribbon, styles section. Conditional formatting is highlighted.">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4219575" y="10791825"/>
          <a:ext cx="1828571" cy="942857"/>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1016000</xdr:colOff>
      <xdr:row>97</xdr:row>
      <xdr:rowOff>162878</xdr:rowOff>
    </xdr:from>
    <xdr:to>
      <xdr:col>6</xdr:col>
      <xdr:colOff>1212850</xdr:colOff>
      <xdr:row>98</xdr:row>
      <xdr:rowOff>167323</xdr:rowOff>
    </xdr:to>
    <xdr:cxnSp macro="">
      <xdr:nvCxnSpPr>
        <xdr:cNvPr id="2" name="Straight Arrow Connector 1">
          <a:extLst>
            <a:ext uri="{FF2B5EF4-FFF2-40B4-BE49-F238E27FC236}">
              <a16:creationId xmlns:a16="http://schemas.microsoft.com/office/drawing/2014/main" id="{8CA69262-9ED1-4E8F-9099-2F9355A3DD60}"/>
            </a:ext>
            <a:ext uri="{C183D7F6-B498-43B3-948B-1728B52AA6E4}">
              <adec:decorative xmlns:adec="http://schemas.microsoft.com/office/drawing/2017/decorative" val="1"/>
            </a:ext>
          </a:extLst>
        </xdr:cNvPr>
        <xdr:cNvCxnSpPr/>
      </xdr:nvCxnSpPr>
      <xdr:spPr>
        <a:xfrm flipV="1">
          <a:off x="7620000" y="18692178"/>
          <a:ext cx="196850" cy="188595"/>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596900</xdr:colOff>
      <xdr:row>115</xdr:row>
      <xdr:rowOff>164347</xdr:rowOff>
    </xdr:from>
    <xdr:to>
      <xdr:col>6</xdr:col>
      <xdr:colOff>793750</xdr:colOff>
      <xdr:row>117</xdr:row>
      <xdr:rowOff>24248</xdr:rowOff>
    </xdr:to>
    <xdr:cxnSp macro="">
      <xdr:nvCxnSpPr>
        <xdr:cNvPr id="3" name="Straight Arrow Connector 2">
          <a:extLst>
            <a:ext uri="{FF2B5EF4-FFF2-40B4-BE49-F238E27FC236}">
              <a16:creationId xmlns:a16="http://schemas.microsoft.com/office/drawing/2014/main" id="{0FB11480-B0ED-416A-B301-EB80675819C0}"/>
            </a:ext>
            <a:ext uri="{C183D7F6-B498-43B3-948B-1728B52AA6E4}">
              <adec:decorative xmlns:adec="http://schemas.microsoft.com/office/drawing/2017/decorative" val="1"/>
            </a:ext>
          </a:extLst>
        </xdr:cNvPr>
        <xdr:cNvCxnSpPr/>
      </xdr:nvCxnSpPr>
      <xdr:spPr>
        <a:xfrm flipV="1">
          <a:off x="5397500" y="20973297"/>
          <a:ext cx="196850" cy="228201"/>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1219200</xdr:colOff>
      <xdr:row>127</xdr:row>
      <xdr:rowOff>62747</xdr:rowOff>
    </xdr:from>
    <xdr:to>
      <xdr:col>6</xdr:col>
      <xdr:colOff>114300</xdr:colOff>
      <xdr:row>128</xdr:row>
      <xdr:rowOff>106798</xdr:rowOff>
    </xdr:to>
    <xdr:cxnSp macro="">
      <xdr:nvCxnSpPr>
        <xdr:cNvPr id="4" name="Straight Arrow Connector 3">
          <a:extLst>
            <a:ext uri="{FF2B5EF4-FFF2-40B4-BE49-F238E27FC236}">
              <a16:creationId xmlns:a16="http://schemas.microsoft.com/office/drawing/2014/main" id="{4EBF8E50-D53E-4314-ACFA-2337E1AD1FD6}"/>
            </a:ext>
            <a:ext uri="{C183D7F6-B498-43B3-948B-1728B52AA6E4}">
              <adec:decorative xmlns:adec="http://schemas.microsoft.com/office/drawing/2017/decorative" val="1"/>
            </a:ext>
          </a:extLst>
        </xdr:cNvPr>
        <xdr:cNvCxnSpPr/>
      </xdr:nvCxnSpPr>
      <xdr:spPr>
        <a:xfrm flipV="1">
          <a:off x="4800600" y="23081497"/>
          <a:ext cx="114300" cy="228201"/>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1060450</xdr:colOff>
      <xdr:row>116</xdr:row>
      <xdr:rowOff>5597</xdr:rowOff>
    </xdr:from>
    <xdr:to>
      <xdr:col>6</xdr:col>
      <xdr:colOff>1257300</xdr:colOff>
      <xdr:row>117</xdr:row>
      <xdr:rowOff>49648</xdr:rowOff>
    </xdr:to>
    <xdr:cxnSp macro="">
      <xdr:nvCxnSpPr>
        <xdr:cNvPr id="5" name="Straight Arrow Connector 4">
          <a:extLst>
            <a:ext uri="{FF2B5EF4-FFF2-40B4-BE49-F238E27FC236}">
              <a16:creationId xmlns:a16="http://schemas.microsoft.com/office/drawing/2014/main" id="{9EEF90E1-B09E-4C1E-AC9A-89AD25CCD14E}"/>
            </a:ext>
            <a:ext uri="{C183D7F6-B498-43B3-948B-1728B52AA6E4}">
              <adec:decorative xmlns:adec="http://schemas.microsoft.com/office/drawing/2017/decorative" val="1"/>
            </a:ext>
          </a:extLst>
        </xdr:cNvPr>
        <xdr:cNvCxnSpPr/>
      </xdr:nvCxnSpPr>
      <xdr:spPr>
        <a:xfrm flipV="1">
          <a:off x="5600700" y="20998697"/>
          <a:ext cx="0" cy="228201"/>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1250950</xdr:colOff>
      <xdr:row>127</xdr:row>
      <xdr:rowOff>6350</xdr:rowOff>
    </xdr:from>
    <xdr:to>
      <xdr:col>7</xdr:col>
      <xdr:colOff>114300</xdr:colOff>
      <xdr:row>128</xdr:row>
      <xdr:rowOff>50401</xdr:rowOff>
    </xdr:to>
    <xdr:cxnSp macro="">
      <xdr:nvCxnSpPr>
        <xdr:cNvPr id="6" name="Straight Arrow Connector 5">
          <a:extLst>
            <a:ext uri="{FF2B5EF4-FFF2-40B4-BE49-F238E27FC236}">
              <a16:creationId xmlns:a16="http://schemas.microsoft.com/office/drawing/2014/main" id="{14753D2E-900B-4A5B-ADF5-F20319F77CF1}"/>
            </a:ext>
            <a:ext uri="{C183D7F6-B498-43B3-948B-1728B52AA6E4}">
              <adec:decorative xmlns:adec="http://schemas.microsoft.com/office/drawing/2017/decorative" val="1"/>
            </a:ext>
          </a:extLst>
        </xdr:cNvPr>
        <xdr:cNvCxnSpPr/>
      </xdr:nvCxnSpPr>
      <xdr:spPr>
        <a:xfrm flipV="1">
          <a:off x="5600700" y="23025100"/>
          <a:ext cx="114300" cy="228201"/>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520700</xdr:colOff>
      <xdr:row>127</xdr:row>
      <xdr:rowOff>31750</xdr:rowOff>
    </xdr:from>
    <xdr:to>
      <xdr:col>7</xdr:col>
      <xdr:colOff>717550</xdr:colOff>
      <xdr:row>128</xdr:row>
      <xdr:rowOff>75801</xdr:rowOff>
    </xdr:to>
    <xdr:cxnSp macro="">
      <xdr:nvCxnSpPr>
        <xdr:cNvPr id="7" name="Straight Arrow Connector 6">
          <a:extLst>
            <a:ext uri="{FF2B5EF4-FFF2-40B4-BE49-F238E27FC236}">
              <a16:creationId xmlns:a16="http://schemas.microsoft.com/office/drawing/2014/main" id="{AA77F57A-F235-422B-BE84-8C8B1B096BC3}"/>
            </a:ext>
            <a:ext uri="{C183D7F6-B498-43B3-948B-1728B52AA6E4}">
              <adec:decorative xmlns:adec="http://schemas.microsoft.com/office/drawing/2017/decorative" val="1"/>
            </a:ext>
          </a:extLst>
        </xdr:cNvPr>
        <xdr:cNvCxnSpPr/>
      </xdr:nvCxnSpPr>
      <xdr:spPr>
        <a:xfrm flipV="1">
          <a:off x="6121400" y="23050500"/>
          <a:ext cx="196850" cy="228201"/>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4.0/" TargetMode="External"/><Relationship Id="rId1" Type="http://schemas.openxmlformats.org/officeDocument/2006/relationships/hyperlink" Target="https://dal.ca.libguides.com/prf.php?account_id=536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hyperlink" Target="mailto:Julie.Marcoux@dal.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A390-BF53-42B3-B08C-1B40B5A5DD29}">
  <sheetPr codeName="Feuil23">
    <tabColor rgb="FF7030A0"/>
  </sheetPr>
  <dimension ref="A1:I17"/>
  <sheetViews>
    <sheetView showRowColHeaders="0" tabSelected="1" workbookViewId="0">
      <selection activeCell="L8" sqref="L8"/>
    </sheetView>
  </sheetViews>
  <sheetFormatPr defaultColWidth="11.453125" defaultRowHeight="14.5" x14ac:dyDescent="0.35"/>
  <cols>
    <col min="1" max="1" width="4.54296875" style="50" customWidth="1"/>
    <col min="2" max="4" width="4" style="50" customWidth="1"/>
    <col min="5" max="5" width="49.54296875" style="50" customWidth="1"/>
    <col min="6" max="8" width="4" style="50" customWidth="1"/>
    <col min="9" max="9" width="4.54296875" style="50" customWidth="1"/>
    <col min="10" max="16384" width="11.453125" style="50"/>
  </cols>
  <sheetData>
    <row r="1" spans="1:9" x14ac:dyDescent="0.35">
      <c r="A1" s="81"/>
      <c r="B1" s="81"/>
      <c r="C1" s="81"/>
      <c r="D1" s="81"/>
      <c r="E1" s="81"/>
      <c r="F1" s="81"/>
      <c r="G1" s="81"/>
      <c r="H1" s="81"/>
      <c r="I1" s="81"/>
    </row>
    <row r="2" spans="1:9" ht="27.5" x14ac:dyDescent="0.55000000000000004">
      <c r="A2" s="81"/>
      <c r="C2" s="49"/>
      <c r="D2" s="49"/>
      <c r="E2" s="82" t="s">
        <v>180</v>
      </c>
      <c r="F2" s="49"/>
      <c r="G2" s="49"/>
      <c r="H2" s="49"/>
      <c r="I2" s="81"/>
    </row>
    <row r="3" spans="1:9" x14ac:dyDescent="0.35">
      <c r="A3" s="81"/>
      <c r="E3" s="384" t="s">
        <v>156</v>
      </c>
      <c r="I3" s="81"/>
    </row>
    <row r="4" spans="1:9" x14ac:dyDescent="0.35">
      <c r="A4" s="81"/>
      <c r="I4" s="81"/>
    </row>
    <row r="5" spans="1:9" x14ac:dyDescent="0.35">
      <c r="A5" s="81"/>
      <c r="E5" s="54"/>
      <c r="I5" s="81"/>
    </row>
    <row r="6" spans="1:9" ht="27.75" customHeight="1" x14ac:dyDescent="0.35">
      <c r="A6" s="81"/>
      <c r="E6" s="80" t="s">
        <v>246</v>
      </c>
      <c r="I6" s="81"/>
    </row>
    <row r="7" spans="1:9" x14ac:dyDescent="0.35">
      <c r="A7" s="81"/>
      <c r="I7" s="81"/>
    </row>
    <row r="8" spans="1:9" x14ac:dyDescent="0.35">
      <c r="A8" s="81"/>
      <c r="I8" s="81"/>
    </row>
    <row r="9" spans="1:9" ht="18" customHeight="1" x14ac:dyDescent="0.35">
      <c r="A9" s="81"/>
      <c r="E9" s="80" t="s">
        <v>247</v>
      </c>
      <c r="I9" s="81"/>
    </row>
    <row r="10" spans="1:9" ht="17.25" customHeight="1" x14ac:dyDescent="0.35">
      <c r="A10" s="81"/>
      <c r="E10" s="54" t="s">
        <v>1409</v>
      </c>
      <c r="I10" s="81"/>
    </row>
    <row r="11" spans="1:9" ht="17.25" customHeight="1" x14ac:dyDescent="0.35">
      <c r="A11" s="81"/>
      <c r="E11" s="54"/>
      <c r="I11" s="81"/>
    </row>
    <row r="12" spans="1:9" x14ac:dyDescent="0.35">
      <c r="A12" s="81"/>
      <c r="E12" s="384" t="s">
        <v>840</v>
      </c>
      <c r="I12" s="81"/>
    </row>
    <row r="13" spans="1:9" x14ac:dyDescent="0.35">
      <c r="A13" s="81"/>
      <c r="B13" s="81"/>
      <c r="C13" s="81"/>
      <c r="D13" s="81"/>
      <c r="E13" s="81"/>
      <c r="F13" s="81"/>
      <c r="G13" s="81"/>
      <c r="H13" s="81"/>
      <c r="I13" s="81"/>
    </row>
    <row r="17" spans="5:5" x14ac:dyDescent="0.35">
      <c r="E17" s="51"/>
    </row>
  </sheetData>
  <hyperlinks>
    <hyperlink ref="E6" location="Menu!A1" display="JUMP TO MAIN MENU" xr:uid="{A7DE34C9-5BE1-42DD-9E13-0E9A8E01D3E3}"/>
    <hyperlink ref="E9" location="ContactInfo!A1" display="CONTACT INFORMATION" xr:uid="{5ABDEBFE-1D10-4726-A2B9-40E8594B695B}"/>
    <hyperlink ref="E3" r:id="rId1" xr:uid="{DE0F0565-5101-4F6F-B0DB-3116DFAAE4A0}"/>
    <hyperlink ref="E12" r:id="rId2" xr:uid="{3A7D0271-2F07-46BC-8FB0-11209A4C535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175D-686E-4BB8-AD5C-172702F9E216}">
  <sheetPr codeName="Feuil24">
    <tabColor rgb="FF7030A0"/>
  </sheetPr>
  <dimension ref="B1:K29"/>
  <sheetViews>
    <sheetView showRowColHeaders="0" workbookViewId="0">
      <selection activeCell="E1" sqref="E1"/>
    </sheetView>
  </sheetViews>
  <sheetFormatPr defaultColWidth="11.453125" defaultRowHeight="14.5" x14ac:dyDescent="0.35"/>
  <cols>
    <col min="1" max="1" width="3" style="50" customWidth="1"/>
    <col min="2" max="2" width="1" style="50" customWidth="1"/>
    <col min="3" max="3" width="8" style="53" customWidth="1"/>
    <col min="4" max="4" width="1.453125" style="53" customWidth="1"/>
    <col min="5" max="5" width="66.54296875" style="50" customWidth="1"/>
    <col min="6" max="6" width="1.453125" style="50" customWidth="1"/>
    <col min="7" max="7" width="8" style="50" customWidth="1"/>
    <col min="8" max="8" width="1.54296875" style="50" customWidth="1"/>
    <col min="9" max="9" width="3" style="50" customWidth="1"/>
    <col min="10" max="16384" width="11.453125" style="50"/>
  </cols>
  <sheetData>
    <row r="1" spans="2:11" ht="18.5" x14ac:dyDescent="0.35">
      <c r="E1" s="80" t="s">
        <v>425</v>
      </c>
    </row>
    <row r="2" spans="2:11" ht="15" thickBot="1" x14ac:dyDescent="0.4"/>
    <row r="3" spans="2:11" ht="18.5" x14ac:dyDescent="0.45">
      <c r="B3" s="55"/>
      <c r="C3" s="55"/>
      <c r="D3" s="56"/>
      <c r="E3" s="77" t="s">
        <v>230</v>
      </c>
      <c r="F3" s="56"/>
      <c r="G3" s="56"/>
      <c r="H3" s="57"/>
      <c r="K3" s="52"/>
    </row>
    <row r="4" spans="2:11" ht="14.25" customHeight="1" x14ac:dyDescent="0.45">
      <c r="B4" s="59"/>
      <c r="C4" s="50"/>
      <c r="D4" s="50"/>
      <c r="E4" s="78" t="s">
        <v>231</v>
      </c>
      <c r="H4" s="60"/>
      <c r="K4" s="52"/>
    </row>
    <row r="5" spans="2:11" ht="14.25" customHeight="1" thickBot="1" x14ac:dyDescent="0.5">
      <c r="B5" s="62"/>
      <c r="C5" s="79"/>
      <c r="D5" s="63"/>
      <c r="E5" s="79" t="s">
        <v>232</v>
      </c>
      <c r="F5" s="63"/>
      <c r="G5" s="63"/>
      <c r="H5" s="65"/>
      <c r="K5" s="52"/>
    </row>
    <row r="7" spans="2:11" x14ac:dyDescent="0.35">
      <c r="B7" s="67"/>
      <c r="C7" s="120"/>
      <c r="D7" s="120"/>
      <c r="E7" s="68" t="s">
        <v>847</v>
      </c>
      <c r="F7" s="118"/>
      <c r="G7" s="118"/>
      <c r="H7" s="69"/>
    </row>
    <row r="8" spans="2:11" ht="15.5" x14ac:dyDescent="0.35">
      <c r="B8" s="70"/>
      <c r="C8" s="131" t="s">
        <v>851</v>
      </c>
      <c r="E8" s="386" t="s">
        <v>2</v>
      </c>
      <c r="H8" s="71"/>
      <c r="K8" s="51"/>
    </row>
    <row r="9" spans="2:11" ht="15.5" x14ac:dyDescent="0.35">
      <c r="B9" s="70"/>
      <c r="C9" s="50"/>
      <c r="E9" s="386" t="s">
        <v>1233</v>
      </c>
      <c r="G9" s="131" t="s">
        <v>1236</v>
      </c>
      <c r="H9" s="71"/>
    </row>
    <row r="10" spans="2:11" ht="15.5" x14ac:dyDescent="0.35">
      <c r="B10" s="70"/>
      <c r="C10" s="131" t="s">
        <v>1237</v>
      </c>
      <c r="E10" s="386" t="s">
        <v>1234</v>
      </c>
      <c r="H10" s="71"/>
    </row>
    <row r="11" spans="2:11" ht="15.5" x14ac:dyDescent="0.35">
      <c r="B11" s="70"/>
      <c r="C11" s="50"/>
      <c r="E11" s="386" t="s">
        <v>0</v>
      </c>
      <c r="G11" s="131" t="s">
        <v>1238</v>
      </c>
      <c r="H11" s="71"/>
      <c r="K11" s="51"/>
    </row>
    <row r="12" spans="2:11" ht="15.5" x14ac:dyDescent="0.35">
      <c r="B12" s="70"/>
      <c r="C12" s="131" t="s">
        <v>1240</v>
      </c>
      <c r="E12" s="386" t="s">
        <v>131</v>
      </c>
      <c r="H12" s="71"/>
    </row>
    <row r="13" spans="2:11" x14ac:dyDescent="0.35">
      <c r="B13" s="72"/>
      <c r="C13" s="121"/>
      <c r="D13" s="121"/>
      <c r="E13" s="388"/>
      <c r="F13" s="119"/>
      <c r="G13" s="119"/>
      <c r="H13" s="73"/>
    </row>
    <row r="14" spans="2:11" x14ac:dyDescent="0.35">
      <c r="E14"/>
    </row>
    <row r="15" spans="2:11" x14ac:dyDescent="0.35">
      <c r="B15" s="74"/>
      <c r="C15" s="122"/>
      <c r="D15" s="122"/>
      <c r="E15" s="191" t="s">
        <v>848</v>
      </c>
      <c r="F15" s="118"/>
      <c r="G15" s="118"/>
      <c r="H15" s="69"/>
    </row>
    <row r="16" spans="2:11" ht="15.5" x14ac:dyDescent="0.35">
      <c r="B16" s="75"/>
      <c r="C16" s="131" t="s">
        <v>1242</v>
      </c>
      <c r="D16" s="54"/>
      <c r="E16" s="2" t="s">
        <v>1243</v>
      </c>
      <c r="F16" s="78"/>
      <c r="G16" s="78"/>
      <c r="H16" s="76"/>
    </row>
    <row r="17" spans="2:8" ht="15.5" x14ac:dyDescent="0.35">
      <c r="B17" s="70"/>
      <c r="C17" s="50"/>
      <c r="E17" s="386" t="s">
        <v>188</v>
      </c>
      <c r="G17" s="131" t="s">
        <v>1244</v>
      </c>
      <c r="H17" s="71"/>
    </row>
    <row r="18" spans="2:8" ht="15.5" x14ac:dyDescent="0.35">
      <c r="B18" s="70"/>
      <c r="C18" s="131" t="s">
        <v>1245</v>
      </c>
      <c r="E18" s="390" t="s">
        <v>189</v>
      </c>
      <c r="H18" s="71"/>
    </row>
    <row r="19" spans="2:8" ht="15.5" x14ac:dyDescent="0.35">
      <c r="B19" s="70"/>
      <c r="C19" s="50"/>
      <c r="E19" s="387" t="s">
        <v>181</v>
      </c>
      <c r="G19" s="131" t="s">
        <v>1247</v>
      </c>
      <c r="H19" s="71"/>
    </row>
    <row r="20" spans="2:8" x14ac:dyDescent="0.35">
      <c r="B20" s="72"/>
      <c r="C20" s="121"/>
      <c r="D20" s="121"/>
      <c r="E20" s="121"/>
      <c r="F20" s="119"/>
      <c r="G20" s="119"/>
      <c r="H20" s="73"/>
    </row>
    <row r="22" spans="2:8" x14ac:dyDescent="0.35">
      <c r="B22" s="74"/>
      <c r="C22" s="122"/>
      <c r="D22" s="122"/>
      <c r="E22" s="191" t="s">
        <v>849</v>
      </c>
      <c r="F22" s="118"/>
      <c r="G22" s="118"/>
      <c r="H22" s="69"/>
    </row>
    <row r="23" spans="2:8" ht="15.5" x14ac:dyDescent="0.35">
      <c r="B23" s="70"/>
      <c r="C23" s="131" t="s">
        <v>846</v>
      </c>
      <c r="E23" s="385" t="s">
        <v>233</v>
      </c>
      <c r="H23" s="71"/>
    </row>
    <row r="24" spans="2:8" ht="15.5" x14ac:dyDescent="0.35">
      <c r="B24" s="70"/>
      <c r="E24" s="386" t="s">
        <v>23</v>
      </c>
      <c r="G24" s="131" t="s">
        <v>1249</v>
      </c>
      <c r="H24" s="71"/>
    </row>
    <row r="25" spans="2:8" ht="15.5" x14ac:dyDescent="0.35">
      <c r="B25" s="75"/>
      <c r="C25" s="131" t="s">
        <v>1251</v>
      </c>
      <c r="D25" s="54"/>
      <c r="E25" s="389" t="s">
        <v>150</v>
      </c>
      <c r="F25" s="78"/>
      <c r="G25" s="78"/>
      <c r="H25" s="76"/>
    </row>
    <row r="26" spans="2:8" ht="15.5" x14ac:dyDescent="0.35">
      <c r="B26" s="70"/>
      <c r="E26" s="386" t="s">
        <v>176</v>
      </c>
      <c r="G26" s="131" t="s">
        <v>1252</v>
      </c>
      <c r="H26" s="71"/>
    </row>
    <row r="27" spans="2:8" x14ac:dyDescent="0.35">
      <c r="B27" s="72"/>
      <c r="C27" s="121"/>
      <c r="D27" s="121"/>
      <c r="E27" s="121"/>
      <c r="F27" s="119"/>
      <c r="G27" s="119"/>
      <c r="H27" s="73"/>
    </row>
    <row r="29" spans="2:8" ht="15.5" x14ac:dyDescent="0.35">
      <c r="E29" s="131" t="s">
        <v>426</v>
      </c>
    </row>
  </sheetData>
  <hyperlinks>
    <hyperlink ref="C23" location="'C1 Instructions'!A1" display="C1" xr:uid="{6B21ADC9-FABB-4DF7-A55B-8169F6D40279}"/>
    <hyperlink ref="G24" location="'C2 Instructions'!A1" display="   C2   " xr:uid="{BD55A786-1457-4158-975F-EAF1EC117912}"/>
    <hyperlink ref="G11" location="'A4 Instructions'!A1" display="   A4   " xr:uid="{9844B7C5-7BE2-42E5-BCE9-DC970C66E918}"/>
    <hyperlink ref="C8" location="'A1 Instructions'!A1" display="A1" xr:uid="{489EC861-B8B6-4B00-A3CA-303AB5585B36}"/>
    <hyperlink ref="G19" location="'B4 Instructions'!A1" display="   B4   " xr:uid="{40643B64-C0DD-45FF-99D2-8A16450B60BC}"/>
    <hyperlink ref="G9" location="'A2 Instructions'!A1" display="A2" xr:uid="{CF53F4E2-7B63-49EE-96FD-471735B20662}"/>
    <hyperlink ref="G17" location="'B2 Instructions'!A1" display="   B2   " xr:uid="{2FD937CA-BEDF-4636-9BB1-9E2EDF12E4FB}"/>
    <hyperlink ref="C18" location="'B3 Instructions'!A1" display="    B3    " xr:uid="{68E47670-2607-4E07-A602-B23CEFB9A20D}"/>
    <hyperlink ref="E1" location="'Excel Magic'!A1" display="                                    Return to Dazzling Title Screen                                     " xr:uid="{3BDFEA05-46E4-41D2-9E5A-16FA483D012C}"/>
    <hyperlink ref="C25" location="'C3 Instructions'!A1" display="   C3   " xr:uid="{A54529AB-E945-426B-954A-27002A5C34BD}"/>
    <hyperlink ref="G26" location="'C4 Instructions'!A1" display="   C4   " xr:uid="{CF9E4505-4975-40E9-94B0-842834F3A573}"/>
    <hyperlink ref="C12" location="'A5 Instructions'!A1" display="   A5   " xr:uid="{C848705D-C4BE-4F58-A0E0-8C340262FBC5}"/>
    <hyperlink ref="C10" location="'A3 Instructions'!A1" display="A3" xr:uid="{91FD5B01-88B1-4304-B05E-4472FA9B90F1}"/>
    <hyperlink ref="C16" location="'B1 Instructions'!A1" display="     B1     " xr:uid="{8CAD2BA4-5916-4B3D-9BCD-2255A4DB309F}"/>
    <hyperlink ref="E29" location="ContactInfo!A1" display="                                         Need More Help?                                         " xr:uid="{6A52F1E8-70AC-468E-B55D-D57CA583F519}"/>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3F38-F80B-4D88-9AEC-49D9113072E8}">
  <sheetPr codeName="Feuil26">
    <tabColor rgb="FFFFFF00"/>
  </sheetPr>
  <dimension ref="A1:E60"/>
  <sheetViews>
    <sheetView workbookViewId="0"/>
  </sheetViews>
  <sheetFormatPr defaultColWidth="11.453125" defaultRowHeight="14.5" x14ac:dyDescent="0.35"/>
  <cols>
    <col min="1" max="1" width="6.54296875" customWidth="1"/>
    <col min="2" max="2" width="23.453125" style="2" customWidth="1"/>
    <col min="3" max="4" width="23.453125" customWidth="1"/>
    <col min="5" max="5" width="35.54296875" customWidth="1"/>
  </cols>
  <sheetData>
    <row r="1" spans="1:5" s="50" customFormat="1" ht="18.5" x14ac:dyDescent="0.35">
      <c r="A1" s="87" t="s">
        <v>130</v>
      </c>
      <c r="B1" s="80" t="s">
        <v>243</v>
      </c>
      <c r="C1" s="80" t="s">
        <v>244</v>
      </c>
      <c r="D1" s="113" t="s">
        <v>245</v>
      </c>
    </row>
    <row r="2" spans="1:5" s="50" customFormat="1" ht="15" customHeight="1" thickBot="1" x14ac:dyDescent="0.4">
      <c r="B2" s="83"/>
    </row>
    <row r="3" spans="1:5" s="50" customFormat="1" ht="18.75" customHeight="1" x14ac:dyDescent="0.45">
      <c r="B3" s="114"/>
      <c r="C3" s="77" t="s">
        <v>850</v>
      </c>
      <c r="D3" s="57"/>
    </row>
    <row r="4" spans="1:5" s="50" customFormat="1" ht="18.5" x14ac:dyDescent="0.45">
      <c r="B4" s="116"/>
      <c r="C4" s="49"/>
      <c r="D4" s="60"/>
    </row>
    <row r="5" spans="1:5" s="50" customFormat="1" ht="15.5" x14ac:dyDescent="0.35">
      <c r="B5" s="116"/>
      <c r="C5" s="85" t="s">
        <v>234</v>
      </c>
      <c r="D5" s="60"/>
    </row>
    <row r="6" spans="1:5" s="50" customFormat="1" x14ac:dyDescent="0.35">
      <c r="B6" s="116"/>
      <c r="C6" s="78" t="s">
        <v>454</v>
      </c>
      <c r="D6" s="60"/>
    </row>
    <row r="7" spans="1:5" s="50" customFormat="1" x14ac:dyDescent="0.35">
      <c r="B7" s="116"/>
      <c r="C7" s="78" t="s">
        <v>455</v>
      </c>
      <c r="D7" s="60"/>
    </row>
    <row r="8" spans="1:5" s="50" customFormat="1" x14ac:dyDescent="0.35">
      <c r="B8" s="116"/>
      <c r="C8" s="78" t="s">
        <v>453</v>
      </c>
      <c r="D8" s="60"/>
    </row>
    <row r="9" spans="1:5" s="50" customFormat="1" ht="18.5" x14ac:dyDescent="0.45">
      <c r="B9" s="116"/>
      <c r="C9" s="49"/>
      <c r="D9" s="60"/>
      <c r="E9" s="78"/>
    </row>
    <row r="10" spans="1:5" s="50" customFormat="1" ht="15.5" x14ac:dyDescent="0.35">
      <c r="B10" s="116"/>
      <c r="C10" s="85" t="s">
        <v>372</v>
      </c>
      <c r="D10" s="60"/>
    </row>
    <row r="11" spans="1:5" s="50" customFormat="1" x14ac:dyDescent="0.35">
      <c r="B11" s="115"/>
      <c r="C11" s="78" t="s">
        <v>456</v>
      </c>
      <c r="D11" s="60"/>
    </row>
    <row r="12" spans="1:5" s="50" customFormat="1" x14ac:dyDescent="0.35">
      <c r="B12" s="115"/>
      <c r="C12" s="78"/>
      <c r="D12" s="60"/>
    </row>
    <row r="13" spans="1:5" s="50" customFormat="1" ht="15.5" x14ac:dyDescent="0.35">
      <c r="B13" s="115"/>
      <c r="C13" s="85" t="s">
        <v>237</v>
      </c>
      <c r="D13" s="60"/>
    </row>
    <row r="14" spans="1:5" s="50" customFormat="1" x14ac:dyDescent="0.35">
      <c r="B14" s="115"/>
      <c r="C14" s="78" t="s">
        <v>457</v>
      </c>
      <c r="D14" s="60"/>
    </row>
    <row r="15" spans="1:5" s="50" customFormat="1" x14ac:dyDescent="0.35">
      <c r="B15" s="115"/>
      <c r="C15" s="78" t="s">
        <v>468</v>
      </c>
      <c r="D15" s="60"/>
    </row>
    <row r="16" spans="1:5" s="50" customFormat="1" x14ac:dyDescent="0.35">
      <c r="B16" s="115"/>
      <c r="C16" s="78" t="s">
        <v>469</v>
      </c>
      <c r="D16" s="60"/>
    </row>
    <row r="17" spans="1:5" s="50" customFormat="1" ht="15" thickBot="1" x14ac:dyDescent="0.4">
      <c r="B17" s="86"/>
      <c r="C17" s="63"/>
      <c r="D17" s="65"/>
    </row>
    <row r="18" spans="1:5" s="50" customFormat="1" x14ac:dyDescent="0.35">
      <c r="B18" s="83"/>
    </row>
    <row r="19" spans="1:5" s="101" customFormat="1" ht="18.5" x14ac:dyDescent="0.45">
      <c r="A19" s="98" t="s">
        <v>130</v>
      </c>
      <c r="B19" s="99" t="s">
        <v>238</v>
      </c>
      <c r="C19" s="100"/>
    </row>
    <row r="20" spans="1:5" s="50" customFormat="1" x14ac:dyDescent="0.35">
      <c r="A20" s="87"/>
      <c r="B20" s="50" t="s">
        <v>458</v>
      </c>
    </row>
    <row r="21" spans="1:5" s="50" customFormat="1" x14ac:dyDescent="0.35">
      <c r="A21" s="87"/>
      <c r="B21" s="50" t="s">
        <v>459</v>
      </c>
    </row>
    <row r="22" spans="1:5" s="50" customFormat="1" x14ac:dyDescent="0.35">
      <c r="A22" s="87"/>
    </row>
    <row r="23" spans="1:5" s="50" customFormat="1" x14ac:dyDescent="0.35">
      <c r="A23" s="87"/>
      <c r="B23" s="50" t="s">
        <v>470</v>
      </c>
    </row>
    <row r="24" spans="1:5" s="50" customFormat="1" x14ac:dyDescent="0.35">
      <c r="A24" s="87"/>
      <c r="B24" s="50" t="s">
        <v>472</v>
      </c>
    </row>
    <row r="25" spans="1:5" s="50" customFormat="1" x14ac:dyDescent="0.35">
      <c r="A25" s="87"/>
      <c r="B25" s="50" t="s">
        <v>467</v>
      </c>
    </row>
    <row r="26" spans="1:5" s="50" customFormat="1" x14ac:dyDescent="0.35">
      <c r="A26" s="87"/>
      <c r="B26" s="50" t="s">
        <v>460</v>
      </c>
    </row>
    <row r="27" spans="1:5" s="50" customFormat="1" x14ac:dyDescent="0.35">
      <c r="A27" s="87"/>
      <c r="B27" s="50" t="s">
        <v>471</v>
      </c>
    </row>
    <row r="28" spans="1:5" s="50" customFormat="1" x14ac:dyDescent="0.35">
      <c r="A28" s="87"/>
    </row>
    <row r="29" spans="1:5" s="50" customFormat="1" x14ac:dyDescent="0.35">
      <c r="A29" s="87"/>
      <c r="B29" s="50" t="s">
        <v>461</v>
      </c>
    </row>
    <row r="30" spans="1:5" s="50" customFormat="1" x14ac:dyDescent="0.35">
      <c r="B30" s="54"/>
      <c r="C30" s="54"/>
      <c r="D30" s="54"/>
    </row>
    <row r="31" spans="1:5" s="97" customFormat="1" ht="18.5" x14ac:dyDescent="0.45">
      <c r="A31" s="93" t="s">
        <v>130</v>
      </c>
      <c r="B31" s="95" t="s">
        <v>16</v>
      </c>
      <c r="C31" s="95" t="s">
        <v>462</v>
      </c>
    </row>
    <row r="32" spans="1:5" x14ac:dyDescent="0.35">
      <c r="B32" s="2" t="s">
        <v>29</v>
      </c>
      <c r="C32" s="208" t="str">
        <f>B32&amp;" "&amp;B33&amp;". " &amp;B34&amp;" "&amp;B35</f>
        <v>I'm using concatenation. Let's transform that into values.</v>
      </c>
      <c r="E32" s="2"/>
    </row>
    <row r="33" spans="1:4" x14ac:dyDescent="0.35">
      <c r="B33" t="s">
        <v>31</v>
      </c>
      <c r="C33" s="135" t="str">
        <f>B36&amp;" "&amp;B37</f>
        <v>Try copying in place and pasting as values.</v>
      </c>
    </row>
    <row r="34" spans="1:4" x14ac:dyDescent="0.35">
      <c r="B34" t="s">
        <v>30</v>
      </c>
      <c r="C34" s="135" t="str">
        <f>B38&amp;" "&amp;B39&amp;" "&amp;B40&amp;" "&amp;B41&amp;" "&amp;B42</f>
        <v>See what happens when you copy-paste from the formulas column before and after doing the paste as values.</v>
      </c>
      <c r="D34" s="2"/>
    </row>
    <row r="35" spans="1:4" x14ac:dyDescent="0.35">
      <c r="B35" t="s">
        <v>32</v>
      </c>
      <c r="D35" s="2"/>
    </row>
    <row r="36" spans="1:4" x14ac:dyDescent="0.35">
      <c r="B36" t="s">
        <v>463</v>
      </c>
    </row>
    <row r="37" spans="1:4" x14ac:dyDescent="0.35">
      <c r="B37" t="s">
        <v>464</v>
      </c>
    </row>
    <row r="38" spans="1:4" x14ac:dyDescent="0.35">
      <c r="B38" t="s">
        <v>465</v>
      </c>
    </row>
    <row r="39" spans="1:4" x14ac:dyDescent="0.35">
      <c r="B39" t="s">
        <v>466</v>
      </c>
    </row>
    <row r="40" spans="1:4" x14ac:dyDescent="0.35">
      <c r="B40" t="s">
        <v>33</v>
      </c>
    </row>
    <row r="41" spans="1:4" x14ac:dyDescent="0.35">
      <c r="B41" t="s">
        <v>34</v>
      </c>
    </row>
    <row r="42" spans="1:4" x14ac:dyDescent="0.35">
      <c r="B42" t="s">
        <v>35</v>
      </c>
    </row>
    <row r="43" spans="1:4" x14ac:dyDescent="0.35">
      <c r="B43" s="10"/>
    </row>
    <row r="44" spans="1:4" x14ac:dyDescent="0.35">
      <c r="B44" s="10"/>
    </row>
    <row r="45" spans="1:4" s="101" customFormat="1" ht="18.5" x14ac:dyDescent="0.45">
      <c r="A45" s="98" t="s">
        <v>130</v>
      </c>
      <c r="B45" s="99" t="s">
        <v>473</v>
      </c>
      <c r="C45" s="100"/>
    </row>
    <row r="47" spans="1:4" x14ac:dyDescent="0.35">
      <c r="B47" s="2" t="s">
        <v>29</v>
      </c>
      <c r="C47" s="209" t="str">
        <f>B47&amp;" "&amp;B48&amp;". " &amp;B49&amp;" "&amp;B50</f>
        <v>I'm using concatenation. Let's transform that into values.</v>
      </c>
    </row>
    <row r="48" spans="1:4" x14ac:dyDescent="0.35">
      <c r="B48" t="s">
        <v>31</v>
      </c>
      <c r="C48" s="135" t="str">
        <f>B51&amp;" "&amp;B52</f>
        <v>Try copying in place and pasting as values.</v>
      </c>
    </row>
    <row r="49" spans="1:3" x14ac:dyDescent="0.35">
      <c r="B49" t="s">
        <v>30</v>
      </c>
      <c r="C49" s="135" t="str">
        <f>B53&amp;" "&amp;B54&amp;" "&amp;B55&amp;" "&amp;B56&amp;" "&amp;B57</f>
        <v>See what happens when you copy-paste from the formulas column before and after doing the paste as values.</v>
      </c>
    </row>
    <row r="50" spans="1:3" x14ac:dyDescent="0.35">
      <c r="B50" t="s">
        <v>32</v>
      </c>
    </row>
    <row r="51" spans="1:3" x14ac:dyDescent="0.35">
      <c r="B51" t="s">
        <v>463</v>
      </c>
    </row>
    <row r="52" spans="1:3" x14ac:dyDescent="0.35">
      <c r="B52" t="s">
        <v>464</v>
      </c>
    </row>
    <row r="53" spans="1:3" x14ac:dyDescent="0.35">
      <c r="B53" t="s">
        <v>465</v>
      </c>
    </row>
    <row r="54" spans="1:3" x14ac:dyDescent="0.35">
      <c r="B54" t="s">
        <v>466</v>
      </c>
    </row>
    <row r="55" spans="1:3" x14ac:dyDescent="0.35">
      <c r="B55" t="s">
        <v>33</v>
      </c>
    </row>
    <row r="56" spans="1:3" x14ac:dyDescent="0.35">
      <c r="B56" t="s">
        <v>34</v>
      </c>
    </row>
    <row r="57" spans="1:3" x14ac:dyDescent="0.35">
      <c r="B57" t="s">
        <v>35</v>
      </c>
    </row>
    <row r="59" spans="1:3" x14ac:dyDescent="0.35">
      <c r="A59" s="103"/>
      <c r="B59" s="2" t="s">
        <v>474</v>
      </c>
    </row>
    <row r="60" spans="1:3" x14ac:dyDescent="0.35">
      <c r="B60" s="2" t="s">
        <v>475</v>
      </c>
    </row>
  </sheetData>
  <hyperlinks>
    <hyperlink ref="B1" location="Menu!A1" display="Main Menu" xr:uid="{A39D0DA2-A442-4489-931A-BA4989C0150B}"/>
    <hyperlink ref="C1" location="'A1 Exercise'!A1" display="              Exercise              " xr:uid="{4C2872C5-0C94-4D60-99B1-AE3B652509BC}"/>
    <hyperlink ref="D1" location="'2021 CSD'!A1" display="       Data worksheet       " xr:uid="{FC43CD44-DF5D-44F1-90F0-91CD6B9573BE}"/>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002060"/>
  </sheetPr>
  <dimension ref="A1:I28"/>
  <sheetViews>
    <sheetView workbookViewId="0"/>
  </sheetViews>
  <sheetFormatPr defaultColWidth="11.453125" defaultRowHeight="14.5" x14ac:dyDescent="0.35"/>
  <cols>
    <col min="1" max="1" width="5.6328125" customWidth="1"/>
    <col min="2" max="4" width="23.453125" customWidth="1"/>
    <col min="5" max="5" width="28.54296875" bestFit="1" customWidth="1"/>
    <col min="6" max="6" width="4.36328125" customWidth="1"/>
  </cols>
  <sheetData>
    <row r="1" spans="1:9" s="50" customFormat="1" ht="18.5" x14ac:dyDescent="0.35">
      <c r="A1" s="87" t="s">
        <v>130</v>
      </c>
      <c r="B1" s="80" t="s">
        <v>243</v>
      </c>
      <c r="C1" s="80" t="s">
        <v>359</v>
      </c>
      <c r="D1" s="80" t="s">
        <v>245</v>
      </c>
    </row>
    <row r="2" spans="1:9" s="50" customFormat="1" x14ac:dyDescent="0.35">
      <c r="E2" s="83"/>
    </row>
    <row r="3" spans="1:9" s="107" customFormat="1" ht="18.5" x14ac:dyDescent="0.45">
      <c r="A3" s="104" t="s">
        <v>130</v>
      </c>
      <c r="B3" s="105" t="s">
        <v>476</v>
      </c>
      <c r="C3" s="106"/>
    </row>
    <row r="4" spans="1:9" s="50" customFormat="1" x14ac:dyDescent="0.35">
      <c r="B4" s="50" t="s">
        <v>477</v>
      </c>
      <c r="E4" s="83"/>
    </row>
    <row r="5" spans="1:9" s="50" customFormat="1" x14ac:dyDescent="0.35">
      <c r="B5" s="50" t="s">
        <v>478</v>
      </c>
      <c r="E5" s="83"/>
    </row>
    <row r="6" spans="1:9" s="50" customFormat="1" x14ac:dyDescent="0.35">
      <c r="B6" s="50" t="s">
        <v>479</v>
      </c>
      <c r="E6" s="83"/>
    </row>
    <row r="7" spans="1:9" s="50" customFormat="1" x14ac:dyDescent="0.35">
      <c r="E7" s="83"/>
    </row>
    <row r="8" spans="1:9" s="50" customFormat="1" x14ac:dyDescent="0.35">
      <c r="B8" s="50" t="s">
        <v>480</v>
      </c>
      <c r="E8" s="83"/>
    </row>
    <row r="9" spans="1:9" s="50" customFormat="1" x14ac:dyDescent="0.35">
      <c r="B9" s="50" t="s">
        <v>486</v>
      </c>
      <c r="E9" s="83"/>
    </row>
    <row r="10" spans="1:9" s="50" customFormat="1" x14ac:dyDescent="0.35">
      <c r="B10" s="50" t="s">
        <v>487</v>
      </c>
      <c r="E10" s="83"/>
    </row>
    <row r="11" spans="1:9" s="50" customFormat="1" x14ac:dyDescent="0.35">
      <c r="B11" s="50" t="s">
        <v>485</v>
      </c>
      <c r="E11" s="83"/>
    </row>
    <row r="12" spans="1:9" s="50" customFormat="1" x14ac:dyDescent="0.35">
      <c r="E12" s="83"/>
    </row>
    <row r="13" spans="1:9" s="96" customFormat="1" ht="18.5" x14ac:dyDescent="0.45">
      <c r="A13" s="117" t="s">
        <v>130</v>
      </c>
      <c r="B13" s="96" t="s">
        <v>488</v>
      </c>
      <c r="G13" s="96" t="s">
        <v>489</v>
      </c>
    </row>
    <row r="14" spans="1:9" x14ac:dyDescent="0.35">
      <c r="A14" s="1"/>
      <c r="B14" s="146" t="str">
        <f>'2021 CSD'!A1</f>
        <v>Province</v>
      </c>
      <c r="C14" s="147" t="str">
        <f>'2021 CSD'!D1</f>
        <v>SUBDIV Name</v>
      </c>
      <c r="D14" s="147" t="str">
        <f>'2021 CSD'!E1</f>
        <v>Tot Pop 2021</v>
      </c>
      <c r="E14" s="148" t="s">
        <v>493</v>
      </c>
      <c r="G14" s="166" t="s">
        <v>482</v>
      </c>
      <c r="H14" s="167"/>
      <c r="I14" s="168"/>
    </row>
    <row r="15" spans="1:9" x14ac:dyDescent="0.35">
      <c r="B15" s="125">
        <f>'2021 CSD'!A2</f>
        <v>12</v>
      </c>
      <c r="C15" s="21" t="str">
        <f>'2021 CSD'!D2</f>
        <v>Barrington</v>
      </c>
      <c r="D15" s="21">
        <f>'2021 CSD'!E2</f>
        <v>6523</v>
      </c>
      <c r="E15" s="142" t="str">
        <f>"NS-"&amp;C15&amp;"-"&amp;D15</f>
        <v>NS-Barrington-6523</v>
      </c>
      <c r="G15" s="164" t="str">
        <f>IF(OR(_xlfn.ISFORMULA(B15),_xlfn.ISFORMULA(C15),_xlfn.ISFORMULA(D15),_xlfn.ISFORMULA(E15)),"Try again","YAY!")</f>
        <v>Try again</v>
      </c>
      <c r="H15" t="s">
        <v>483</v>
      </c>
    </row>
    <row r="16" spans="1:9" x14ac:dyDescent="0.35">
      <c r="B16" s="125">
        <f>'2021 CSD'!A3</f>
        <v>12</v>
      </c>
      <c r="C16" s="21" t="str">
        <f>'2021 CSD'!D3</f>
        <v>Clark's Harbour</v>
      </c>
      <c r="D16" s="21">
        <f>'2021 CSD'!E3</f>
        <v>725</v>
      </c>
      <c r="E16" s="142" t="str">
        <f t="shared" ref="E16:E27" si="0">"NS-"&amp;C16&amp;"-"&amp;D16</f>
        <v>NS-Clark's Harbour-725</v>
      </c>
      <c r="G16" s="164" t="str">
        <f t="shared" ref="G16:G27" si="1">IF(OR(_xlfn.ISFORMULA(B16),_xlfn.ISFORMULA(C16),_xlfn.ISFORMULA(D16),_xlfn.ISFORMULA(E16)),"Try again","YAY!")</f>
        <v>Try again</v>
      </c>
      <c r="H16" t="s">
        <v>483</v>
      </c>
    </row>
    <row r="17" spans="2:8" x14ac:dyDescent="0.35">
      <c r="B17" s="125">
        <f>'2021 CSD'!A4</f>
        <v>12</v>
      </c>
      <c r="C17" s="21" t="str">
        <f>'2021 CSD'!D4</f>
        <v>Shelburne</v>
      </c>
      <c r="D17" s="21">
        <f>'2021 CSD'!E4</f>
        <v>4336</v>
      </c>
      <c r="E17" s="142" t="str">
        <f t="shared" si="0"/>
        <v>NS-Shelburne-4336</v>
      </c>
      <c r="G17" s="164" t="str">
        <f t="shared" si="1"/>
        <v>Try again</v>
      </c>
      <c r="H17" t="s">
        <v>483</v>
      </c>
    </row>
    <row r="18" spans="2:8" x14ac:dyDescent="0.35">
      <c r="B18" s="125">
        <f>'2021 CSD'!A5</f>
        <v>12</v>
      </c>
      <c r="C18" s="21" t="str">
        <f>'2021 CSD'!D5</f>
        <v>Shelburne</v>
      </c>
      <c r="D18" s="21">
        <f>'2021 CSD'!E5</f>
        <v>1644</v>
      </c>
      <c r="E18" s="142" t="str">
        <f t="shared" si="0"/>
        <v>NS-Shelburne-1644</v>
      </c>
      <c r="G18" s="164" t="str">
        <f t="shared" si="1"/>
        <v>Try again</v>
      </c>
      <c r="H18" t="s">
        <v>483</v>
      </c>
    </row>
    <row r="19" spans="2:8" x14ac:dyDescent="0.35">
      <c r="B19" s="125">
        <f>'2021 CSD'!A6</f>
        <v>12</v>
      </c>
      <c r="C19" s="21" t="str">
        <f>'2021 CSD'!D6</f>
        <v>Lockeport</v>
      </c>
      <c r="D19" s="21">
        <f>'2021 CSD'!E6</f>
        <v>476</v>
      </c>
      <c r="E19" s="142" t="str">
        <f t="shared" si="0"/>
        <v>NS-Lockeport-476</v>
      </c>
      <c r="G19" s="164" t="str">
        <f t="shared" si="1"/>
        <v>Try again</v>
      </c>
      <c r="H19" t="s">
        <v>483</v>
      </c>
    </row>
    <row r="20" spans="2:8" x14ac:dyDescent="0.35">
      <c r="B20" s="125">
        <f>'2021 CSD'!A7</f>
        <v>12</v>
      </c>
      <c r="C20" s="21" t="str">
        <f>'2021 CSD'!D7</f>
        <v>Argyle</v>
      </c>
      <c r="D20" s="21">
        <f>'2021 CSD'!E7</f>
        <v>7870</v>
      </c>
      <c r="E20" s="142" t="str">
        <f t="shared" si="0"/>
        <v>NS-Argyle-7870</v>
      </c>
      <c r="G20" s="164" t="str">
        <f t="shared" si="1"/>
        <v>Try again</v>
      </c>
      <c r="H20" t="s">
        <v>483</v>
      </c>
    </row>
    <row r="21" spans="2:8" x14ac:dyDescent="0.35">
      <c r="B21" s="125">
        <f>'2021 CSD'!A8</f>
        <v>12</v>
      </c>
      <c r="C21" s="21" t="str">
        <f>'2021 CSD'!D8</f>
        <v>Yarmouth</v>
      </c>
      <c r="D21" s="21">
        <f>'2021 CSD'!E8</f>
        <v>10067</v>
      </c>
      <c r="E21" s="142" t="str">
        <f t="shared" si="0"/>
        <v>NS-Yarmouth-10067</v>
      </c>
      <c r="G21" s="164" t="str">
        <f t="shared" si="1"/>
        <v>Try again</v>
      </c>
      <c r="H21" t="s">
        <v>483</v>
      </c>
    </row>
    <row r="22" spans="2:8" x14ac:dyDescent="0.35">
      <c r="B22" s="125">
        <f>'2021 CSD'!A9</f>
        <v>12</v>
      </c>
      <c r="C22" s="21" t="str">
        <f>'2021 CSD'!D9</f>
        <v>Yarmouth</v>
      </c>
      <c r="D22" s="21">
        <f>'2021 CSD'!E9</f>
        <v>6829</v>
      </c>
      <c r="E22" s="142" t="str">
        <f t="shared" si="0"/>
        <v>NS-Yarmouth-6829</v>
      </c>
      <c r="G22" s="164" t="str">
        <f t="shared" si="1"/>
        <v>Try again</v>
      </c>
      <c r="H22" t="s">
        <v>483</v>
      </c>
    </row>
    <row r="23" spans="2:8" x14ac:dyDescent="0.35">
      <c r="B23" s="125">
        <f>'2021 CSD'!A10</f>
        <v>12</v>
      </c>
      <c r="C23" s="21" t="str">
        <f>'2021 CSD'!D10</f>
        <v>Yarmouth 33</v>
      </c>
      <c r="D23" s="21">
        <f>'2021 CSD'!E10</f>
        <v>181</v>
      </c>
      <c r="E23" s="142" t="str">
        <f t="shared" si="0"/>
        <v>NS-Yarmouth 33-181</v>
      </c>
      <c r="G23" s="164" t="str">
        <f t="shared" si="1"/>
        <v>Try again</v>
      </c>
      <c r="H23" t="s">
        <v>483</v>
      </c>
    </row>
    <row r="24" spans="2:8" x14ac:dyDescent="0.35">
      <c r="B24" s="125">
        <f>'2021 CSD'!A11</f>
        <v>12</v>
      </c>
      <c r="C24" s="21" t="str">
        <f>'2021 CSD'!D11</f>
        <v>Clare</v>
      </c>
      <c r="D24" s="21">
        <f>'2021 CSD'!E11</f>
        <v>7678</v>
      </c>
      <c r="E24" s="142" t="str">
        <f t="shared" si="0"/>
        <v>NS-Clare-7678</v>
      </c>
      <c r="G24" s="164" t="str">
        <f t="shared" si="1"/>
        <v>Try again</v>
      </c>
      <c r="H24" t="s">
        <v>483</v>
      </c>
    </row>
    <row r="25" spans="2:8" x14ac:dyDescent="0.35">
      <c r="B25" s="125">
        <f>'2021 CSD'!A12</f>
        <v>12</v>
      </c>
      <c r="C25" s="21" t="str">
        <f>'2021 CSD'!D12</f>
        <v>Digby</v>
      </c>
      <c r="D25" s="21">
        <f>'2021 CSD'!E12</f>
        <v>7242</v>
      </c>
      <c r="E25" s="142" t="str">
        <f t="shared" si="0"/>
        <v>NS-Digby-7242</v>
      </c>
      <c r="G25" s="164" t="str">
        <f t="shared" si="1"/>
        <v>Try again</v>
      </c>
      <c r="H25" t="s">
        <v>483</v>
      </c>
    </row>
    <row r="26" spans="2:8" x14ac:dyDescent="0.35">
      <c r="B26" s="125">
        <f>'2021 CSD'!A13</f>
        <v>12</v>
      </c>
      <c r="C26" s="21" t="str">
        <f>'2021 CSD'!D13</f>
        <v>Digby</v>
      </c>
      <c r="D26" s="21">
        <f>'2021 CSD'!E13</f>
        <v>2001</v>
      </c>
      <c r="E26" s="142" t="str">
        <f t="shared" si="0"/>
        <v>NS-Digby-2001</v>
      </c>
      <c r="G26" s="164" t="str">
        <f t="shared" si="1"/>
        <v>Try again</v>
      </c>
      <c r="H26" t="s">
        <v>483</v>
      </c>
    </row>
    <row r="27" spans="2:8" ht="15" thickBot="1" x14ac:dyDescent="0.4">
      <c r="B27" s="127">
        <f>'2021 CSD'!A14</f>
        <v>12</v>
      </c>
      <c r="C27" s="21" t="str">
        <f>'2021 CSD'!D14</f>
        <v>Bear River (Part) 6</v>
      </c>
      <c r="D27" s="21">
        <f>'2021 CSD'!E14</f>
        <v>141</v>
      </c>
      <c r="E27" s="143" t="str">
        <f t="shared" si="0"/>
        <v>NS-Bear River (Part) 6-141</v>
      </c>
      <c r="G27" s="164" t="str">
        <f t="shared" si="1"/>
        <v>Try again</v>
      </c>
      <c r="H27" t="s">
        <v>483</v>
      </c>
    </row>
    <row r="28" spans="2:8" ht="15" thickBot="1" x14ac:dyDescent="0.4">
      <c r="B28" s="2"/>
      <c r="C28" s="144" t="s">
        <v>481</v>
      </c>
      <c r="D28" s="145">
        <f>SUM(D15:D27)</f>
        <v>55713</v>
      </c>
      <c r="G28" s="165" t="str">
        <f>IF(_xlfn.ISFORMULA(D28),"YAY!","Oh no!")</f>
        <v>YAY!</v>
      </c>
      <c r="H28" t="s">
        <v>484</v>
      </c>
    </row>
  </sheetData>
  <conditionalFormatting sqref="G15:G28">
    <cfRule type="containsText" dxfId="73" priority="1" operator="containsText" text="Yay">
      <formula>NOT(ISERROR(SEARCH("Yay",G15)))</formula>
    </cfRule>
  </conditionalFormatting>
  <hyperlinks>
    <hyperlink ref="B1" location="Menu!A1" display="Main Menu" xr:uid="{FD16FC42-1FA8-441E-9E12-21A72903A056}"/>
    <hyperlink ref="C1" location="'A1 Instructions'!A1" display="Instructions" xr:uid="{51492C98-892A-4097-8EE7-DC6D5C331352}"/>
    <hyperlink ref="D1" location="'2021 CSD'!A1" display="       Data worksheet       " xr:uid="{2DE540D9-1208-4078-B46A-D5D602098CF1}"/>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ACA6-FAAF-4101-92DA-A6AD8C76B3F6}">
  <sheetPr codeName="Feuil27">
    <tabColor rgb="FFFFFF00"/>
  </sheetPr>
  <dimension ref="A1:K55"/>
  <sheetViews>
    <sheetView workbookViewId="0"/>
  </sheetViews>
  <sheetFormatPr defaultColWidth="11.453125" defaultRowHeight="14.5" x14ac:dyDescent="0.35"/>
  <cols>
    <col min="1" max="1" width="6.54296875" customWidth="1"/>
    <col min="2" max="3" width="23.453125" style="2" customWidth="1"/>
    <col min="4" max="4" width="12.54296875" style="2" customWidth="1"/>
    <col min="5" max="8" width="3.453125" style="2" customWidth="1"/>
    <col min="9" max="9" width="3.90625" style="2" customWidth="1"/>
    <col min="10" max="10" width="25.54296875" style="2" customWidth="1"/>
    <col min="11" max="11" width="23.453125" style="2" customWidth="1"/>
    <col min="12" max="13" width="23.453125" customWidth="1"/>
  </cols>
  <sheetData>
    <row r="1" spans="1:8" s="50" customFormat="1" ht="18.5" x14ac:dyDescent="0.35">
      <c r="A1" s="87" t="s">
        <v>130</v>
      </c>
      <c r="B1" s="80" t="s">
        <v>243</v>
      </c>
      <c r="C1" s="80" t="s">
        <v>244</v>
      </c>
      <c r="E1" s="50" t="s">
        <v>582</v>
      </c>
      <c r="F1" s="50" t="s">
        <v>581</v>
      </c>
    </row>
    <row r="2" spans="1:8" s="50" customFormat="1" ht="15" thickBot="1" x14ac:dyDescent="0.4">
      <c r="B2" s="83"/>
      <c r="C2" s="83"/>
    </row>
    <row r="3" spans="1:8" s="50" customFormat="1" ht="18.75" customHeight="1" x14ac:dyDescent="0.45">
      <c r="B3" s="114"/>
      <c r="C3" s="77" t="s">
        <v>1232</v>
      </c>
      <c r="D3" s="56"/>
      <c r="E3" s="77"/>
      <c r="F3" s="56"/>
      <c r="G3" s="56"/>
      <c r="H3" s="57"/>
    </row>
    <row r="4" spans="1:8" s="50" customFormat="1" ht="18.5" x14ac:dyDescent="0.45">
      <c r="B4" s="116"/>
      <c r="C4" s="49"/>
      <c r="H4" s="60"/>
    </row>
    <row r="5" spans="1:8" s="50" customFormat="1" ht="15.5" x14ac:dyDescent="0.35">
      <c r="B5" s="116"/>
      <c r="C5" s="85" t="s">
        <v>234</v>
      </c>
      <c r="H5" s="60"/>
    </row>
    <row r="6" spans="1:8" s="50" customFormat="1" x14ac:dyDescent="0.35">
      <c r="B6" s="116"/>
      <c r="C6" s="78" t="s">
        <v>705</v>
      </c>
      <c r="H6" s="60"/>
    </row>
    <row r="7" spans="1:8" s="50" customFormat="1" x14ac:dyDescent="0.35">
      <c r="B7" s="116"/>
      <c r="C7" s="78" t="s">
        <v>706</v>
      </c>
      <c r="H7" s="60"/>
    </row>
    <row r="8" spans="1:8" s="50" customFormat="1" x14ac:dyDescent="0.35">
      <c r="B8" s="116"/>
      <c r="C8" s="78" t="s">
        <v>707</v>
      </c>
      <c r="H8" s="60"/>
    </row>
    <row r="9" spans="1:8" s="50" customFormat="1" x14ac:dyDescent="0.35">
      <c r="B9" s="116"/>
      <c r="H9" s="60"/>
    </row>
    <row r="10" spans="1:8" s="50" customFormat="1" x14ac:dyDescent="0.35">
      <c r="B10" s="116"/>
      <c r="C10" s="78" t="s">
        <v>708</v>
      </c>
      <c r="H10" s="60"/>
    </row>
    <row r="11" spans="1:8" s="50" customFormat="1" x14ac:dyDescent="0.35">
      <c r="B11" s="116"/>
      <c r="C11" s="78" t="s">
        <v>710</v>
      </c>
      <c r="H11" s="60"/>
    </row>
    <row r="12" spans="1:8" s="50" customFormat="1" x14ac:dyDescent="0.35">
      <c r="B12" s="116"/>
      <c r="C12" s="78" t="s">
        <v>709</v>
      </c>
      <c r="H12" s="60"/>
    </row>
    <row r="13" spans="1:8" s="50" customFormat="1" ht="18.5" x14ac:dyDescent="0.45">
      <c r="B13" s="116"/>
      <c r="C13" s="49"/>
      <c r="H13" s="60"/>
    </row>
    <row r="14" spans="1:8" s="50" customFormat="1" ht="15.5" x14ac:dyDescent="0.35">
      <c r="B14" s="116"/>
      <c r="C14" s="85" t="s">
        <v>372</v>
      </c>
      <c r="H14" s="60"/>
    </row>
    <row r="15" spans="1:8" s="50" customFormat="1" x14ac:dyDescent="0.35">
      <c r="B15" s="115"/>
      <c r="C15" s="78" t="s">
        <v>711</v>
      </c>
      <c r="H15" s="60"/>
    </row>
    <row r="16" spans="1:8" s="50" customFormat="1" x14ac:dyDescent="0.35">
      <c r="B16" s="115"/>
      <c r="C16" s="78" t="s">
        <v>712</v>
      </c>
      <c r="H16" s="60"/>
    </row>
    <row r="17" spans="1:8" s="50" customFormat="1" x14ac:dyDescent="0.35">
      <c r="B17" s="115"/>
      <c r="C17" s="78" t="s">
        <v>713</v>
      </c>
      <c r="H17" s="60"/>
    </row>
    <row r="18" spans="1:8" s="50" customFormat="1" x14ac:dyDescent="0.35">
      <c r="B18" s="115"/>
      <c r="C18" s="78"/>
      <c r="H18" s="60"/>
    </row>
    <row r="19" spans="1:8" s="50" customFormat="1" ht="15.5" x14ac:dyDescent="0.35">
      <c r="B19" s="115"/>
      <c r="C19" s="85" t="s">
        <v>237</v>
      </c>
      <c r="H19" s="60"/>
    </row>
    <row r="20" spans="1:8" s="50" customFormat="1" x14ac:dyDescent="0.35">
      <c r="B20" s="115"/>
      <c r="C20" s="78" t="s">
        <v>714</v>
      </c>
      <c r="H20" s="60"/>
    </row>
    <row r="21" spans="1:8" s="50" customFormat="1" x14ac:dyDescent="0.35">
      <c r="B21" s="115"/>
      <c r="C21" s="78" t="s">
        <v>725</v>
      </c>
      <c r="H21" s="60"/>
    </row>
    <row r="22" spans="1:8" s="50" customFormat="1" x14ac:dyDescent="0.35">
      <c r="B22" s="115"/>
      <c r="C22" s="78" t="s">
        <v>726</v>
      </c>
      <c r="H22" s="60"/>
    </row>
    <row r="23" spans="1:8" s="50" customFormat="1" ht="15" thickBot="1" x14ac:dyDescent="0.4">
      <c r="B23" s="86"/>
      <c r="C23" s="323"/>
      <c r="D23" s="323"/>
      <c r="E23" s="323"/>
      <c r="F23" s="323"/>
      <c r="G23" s="323"/>
      <c r="H23" s="324"/>
    </row>
    <row r="24" spans="1:8" s="50" customFormat="1" x14ac:dyDescent="0.35">
      <c r="B24" s="83"/>
      <c r="C24" s="83"/>
    </row>
    <row r="25" spans="1:8" s="101" customFormat="1" ht="18.5" x14ac:dyDescent="0.45">
      <c r="A25" s="98" t="s">
        <v>130</v>
      </c>
      <c r="B25" s="99" t="s">
        <v>238</v>
      </c>
      <c r="C25" s="99"/>
      <c r="D25" s="100"/>
    </row>
    <row r="26" spans="1:8" s="50" customFormat="1" x14ac:dyDescent="0.35">
      <c r="A26" s="87"/>
      <c r="B26" s="50" t="s">
        <v>715</v>
      </c>
    </row>
    <row r="27" spans="1:8" s="50" customFormat="1" x14ac:dyDescent="0.35">
      <c r="A27" s="87"/>
      <c r="B27" s="50" t="s">
        <v>721</v>
      </c>
    </row>
    <row r="28" spans="1:8" s="50" customFormat="1" x14ac:dyDescent="0.35">
      <c r="A28" s="87"/>
    </row>
    <row r="29" spans="1:8" s="50" customFormat="1" x14ac:dyDescent="0.35">
      <c r="A29" s="87"/>
      <c r="B29" s="50" t="s">
        <v>719</v>
      </c>
    </row>
    <row r="30" spans="1:8" s="50" customFormat="1" x14ac:dyDescent="0.35">
      <c r="A30" s="87"/>
      <c r="B30" s="50" t="s">
        <v>720</v>
      </c>
    </row>
    <row r="31" spans="1:8" s="50" customFormat="1" x14ac:dyDescent="0.35">
      <c r="A31" s="87"/>
      <c r="B31" s="50" t="s">
        <v>717</v>
      </c>
    </row>
    <row r="32" spans="1:8" s="50" customFormat="1" x14ac:dyDescent="0.35">
      <c r="A32" s="87"/>
      <c r="B32" s="50" t="s">
        <v>716</v>
      </c>
    </row>
    <row r="33" spans="1:9" s="50" customFormat="1" x14ac:dyDescent="0.35">
      <c r="A33" s="87"/>
    </row>
    <row r="34" spans="1:9" s="50" customFormat="1" x14ac:dyDescent="0.35">
      <c r="A34" s="87"/>
      <c r="B34" s="50" t="s">
        <v>722</v>
      </c>
    </row>
    <row r="35" spans="1:9" s="50" customFormat="1" x14ac:dyDescent="0.35">
      <c r="B35" s="54"/>
      <c r="C35" s="54"/>
      <c r="D35" s="54"/>
      <c r="E35" s="54"/>
    </row>
    <row r="36" spans="1:9" s="97" customFormat="1" ht="18.5" x14ac:dyDescent="0.45">
      <c r="A36" s="93" t="s">
        <v>130</v>
      </c>
      <c r="B36" s="95" t="s">
        <v>718</v>
      </c>
      <c r="C36" s="95"/>
      <c r="D36" s="96"/>
      <c r="E36" s="95"/>
    </row>
    <row r="37" spans="1:9" x14ac:dyDescent="0.35">
      <c r="B37" s="2" t="s">
        <v>836</v>
      </c>
    </row>
    <row r="38" spans="1:9" x14ac:dyDescent="0.35">
      <c r="B38" s="2" t="s">
        <v>723</v>
      </c>
      <c r="D38" s="10"/>
    </row>
    <row r="39" spans="1:9" x14ac:dyDescent="0.35">
      <c r="B39" s="2" t="s">
        <v>724</v>
      </c>
      <c r="D39" s="10"/>
      <c r="E39" s="21"/>
      <c r="F39" s="21"/>
      <c r="G39" s="21"/>
      <c r="H39" s="21"/>
      <c r="I39" s="21"/>
    </row>
    <row r="40" spans="1:9" x14ac:dyDescent="0.35">
      <c r="E40"/>
      <c r="F40"/>
      <c r="G40"/>
      <c r="H40"/>
      <c r="I40"/>
    </row>
    <row r="41" spans="1:9" x14ac:dyDescent="0.35">
      <c r="D41" s="10"/>
      <c r="E41" s="2">
        <v>1</v>
      </c>
      <c r="F41" s="2">
        <v>2</v>
      </c>
      <c r="G41" s="2">
        <v>3</v>
      </c>
      <c r="H41" s="2">
        <v>4</v>
      </c>
      <c r="I41" s="2">
        <v>5</v>
      </c>
    </row>
    <row r="42" spans="1:9" x14ac:dyDescent="0.35">
      <c r="D42" s="10"/>
      <c r="E42" s="2">
        <v>6</v>
      </c>
      <c r="G42" s="2">
        <v>8</v>
      </c>
      <c r="I42" s="2">
        <v>10</v>
      </c>
    </row>
    <row r="43" spans="1:9" x14ac:dyDescent="0.35">
      <c r="E43" s="2">
        <v>11</v>
      </c>
      <c r="F43" s="2">
        <v>12</v>
      </c>
      <c r="G43" s="2">
        <v>13</v>
      </c>
      <c r="H43" s="2">
        <v>14</v>
      </c>
      <c r="I43" s="2">
        <v>15</v>
      </c>
    </row>
    <row r="44" spans="1:9" x14ac:dyDescent="0.35">
      <c r="F44" s="2">
        <v>17</v>
      </c>
      <c r="G44" s="2">
        <v>18</v>
      </c>
      <c r="H44" s="2">
        <v>19</v>
      </c>
    </row>
    <row r="45" spans="1:9" x14ac:dyDescent="0.35">
      <c r="E45" s="2">
        <v>21</v>
      </c>
      <c r="I45" s="2">
        <v>25</v>
      </c>
    </row>
    <row r="46" spans="1:9" x14ac:dyDescent="0.35">
      <c r="E46" s="2">
        <v>26</v>
      </c>
      <c r="F46" s="2">
        <v>27</v>
      </c>
      <c r="G46" s="2">
        <v>28</v>
      </c>
      <c r="H46" s="2">
        <v>29</v>
      </c>
      <c r="I46" s="2">
        <v>30</v>
      </c>
    </row>
    <row r="48" spans="1:9" s="101" customFormat="1" ht="18.5" x14ac:dyDescent="0.45">
      <c r="A48" s="98" t="s">
        <v>130</v>
      </c>
      <c r="B48" s="99" t="s">
        <v>473</v>
      </c>
      <c r="C48" s="100"/>
    </row>
    <row r="49" spans="1:11" ht="15.75" customHeight="1" x14ac:dyDescent="0.35">
      <c r="C49"/>
      <c r="D49"/>
      <c r="E49"/>
      <c r="F49"/>
      <c r="G49"/>
      <c r="H49"/>
      <c r="I49"/>
      <c r="J49"/>
      <c r="K49"/>
    </row>
    <row r="50" spans="1:11" x14ac:dyDescent="0.35">
      <c r="A50" s="103"/>
      <c r="B50" s="2" t="s">
        <v>727</v>
      </c>
      <c r="E50" s="2">
        <v>1</v>
      </c>
      <c r="F50" s="2">
        <v>2</v>
      </c>
      <c r="G50" s="2">
        <v>3</v>
      </c>
      <c r="H50" s="2">
        <v>4</v>
      </c>
      <c r="I50" s="2">
        <v>5</v>
      </c>
    </row>
    <row r="51" spans="1:11" x14ac:dyDescent="0.35">
      <c r="B51" s="2" t="s">
        <v>728</v>
      </c>
      <c r="E51" s="2">
        <v>6</v>
      </c>
      <c r="G51" s="2">
        <v>8</v>
      </c>
      <c r="I51" s="2">
        <v>10</v>
      </c>
    </row>
    <row r="52" spans="1:11" x14ac:dyDescent="0.35">
      <c r="E52" s="2">
        <v>11</v>
      </c>
      <c r="F52" s="2">
        <v>12</v>
      </c>
      <c r="G52" s="2">
        <v>13</v>
      </c>
      <c r="H52" s="2">
        <v>14</v>
      </c>
      <c r="I52" s="2">
        <v>15</v>
      </c>
    </row>
    <row r="53" spans="1:11" x14ac:dyDescent="0.35">
      <c r="F53" s="2">
        <v>17</v>
      </c>
      <c r="G53" s="2">
        <v>18</v>
      </c>
      <c r="H53" s="2">
        <v>19</v>
      </c>
    </row>
    <row r="54" spans="1:11" x14ac:dyDescent="0.35">
      <c r="E54" s="2">
        <v>21</v>
      </c>
      <c r="I54" s="2">
        <v>25</v>
      </c>
    </row>
    <row r="55" spans="1:11" x14ac:dyDescent="0.35">
      <c r="E55" s="2">
        <v>26</v>
      </c>
      <c r="F55" s="2">
        <v>27</v>
      </c>
      <c r="G55" s="2">
        <v>28</v>
      </c>
      <c r="H55" s="2">
        <v>29</v>
      </c>
      <c r="I55" s="2">
        <v>30</v>
      </c>
    </row>
  </sheetData>
  <hyperlinks>
    <hyperlink ref="B1" location="Menu!A1" display="Main Menu" xr:uid="{FAF85EA5-38E4-4A6F-AF28-79E2060579AC}"/>
    <hyperlink ref="C1" location="'A2 Exercise'!A1" display="              Exercise              " xr:uid="{34440C82-3860-4DE4-8BCA-2FE67245816C}"/>
    <hyperlink ref="E1" location="'2_1 Exercise'!A1" display="                " xr:uid="{B3EFCAA5-2DFD-41F4-98DC-37541C11DAEF}"/>
    <hyperlink ref="F1" location="'2_1 Exercise'!A1" display="                                                       " xr:uid="{20E9B3F8-26AB-42CB-97B8-1A57BEA66B58}"/>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tabColor rgb="FF002060"/>
  </sheetPr>
  <dimension ref="A1:AL28"/>
  <sheetViews>
    <sheetView workbookViewId="0">
      <selection activeCell="R17" sqref="R17"/>
    </sheetView>
  </sheetViews>
  <sheetFormatPr defaultColWidth="11.453125" defaultRowHeight="14.5" x14ac:dyDescent="0.35"/>
  <cols>
    <col min="1" max="1" width="5.6328125" style="50" customWidth="1"/>
    <col min="2" max="33" width="4.08984375" style="50" customWidth="1"/>
    <col min="34" max="34" width="12.08984375" style="50" hidden="1" customWidth="1"/>
    <col min="35" max="16384" width="11.453125" style="50"/>
  </cols>
  <sheetData>
    <row r="1" spans="1:35" ht="18.5" x14ac:dyDescent="0.45">
      <c r="A1" s="52"/>
    </row>
    <row r="3" spans="1:35" s="107" customFormat="1" ht="18.5" x14ac:dyDescent="0.45">
      <c r="A3" s="104" t="s">
        <v>130</v>
      </c>
      <c r="B3" s="105" t="s">
        <v>729</v>
      </c>
      <c r="C3" s="106"/>
    </row>
    <row r="4" spans="1:35" x14ac:dyDescent="0.35">
      <c r="B4" s="83" t="s">
        <v>731</v>
      </c>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83"/>
      <c r="AH4" s="83"/>
    </row>
    <row r="5" spans="1:35" x14ac:dyDescent="0.35">
      <c r="B5" s="83" t="s">
        <v>730</v>
      </c>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row>
    <row r="7" spans="1:35" s="96" customFormat="1" ht="18.5" x14ac:dyDescent="0.45">
      <c r="A7" s="327" t="s">
        <v>130</v>
      </c>
      <c r="B7" s="96" t="s">
        <v>151</v>
      </c>
    </row>
    <row r="8" spans="1:35" x14ac:dyDescent="0.35">
      <c r="B8" s="50" t="str">
        <f>"*"</f>
        <v>*</v>
      </c>
      <c r="C8" s="50" t="str">
        <f>"*"</f>
        <v>*</v>
      </c>
      <c r="D8" s="50" t="str">
        <f>"*"</f>
        <v>*</v>
      </c>
      <c r="E8" s="50" t="s">
        <v>130</v>
      </c>
      <c r="F8" s="50" t="str">
        <f>"*"</f>
        <v>*</v>
      </c>
      <c r="G8" s="50" t="s">
        <v>130</v>
      </c>
      <c r="H8" s="50" t="s">
        <v>130</v>
      </c>
      <c r="I8" s="50" t="s">
        <v>130</v>
      </c>
      <c r="J8" s="50" t="str">
        <f>"*"</f>
        <v>*</v>
      </c>
      <c r="K8" s="50" t="s">
        <v>130</v>
      </c>
      <c r="L8" s="50" t="str">
        <f>"*"</f>
        <v>*</v>
      </c>
      <c r="M8" s="50" t="str">
        <f>"*"</f>
        <v>*</v>
      </c>
      <c r="N8" s="50" t="str">
        <f>"*"</f>
        <v>*</v>
      </c>
      <c r="O8" s="50" t="s">
        <v>130</v>
      </c>
      <c r="P8" s="50" t="str">
        <f>"*"</f>
        <v>*</v>
      </c>
      <c r="Q8" s="50" t="str">
        <f>"*"</f>
        <v>*</v>
      </c>
      <c r="R8" s="50" t="str">
        <f>"*"</f>
        <v>*</v>
      </c>
      <c r="S8" s="50" t="s">
        <v>130</v>
      </c>
      <c r="T8" s="50" t="str">
        <f>"*"</f>
        <v>*</v>
      </c>
      <c r="U8" s="50" t="str">
        <f>"*"</f>
        <v>*</v>
      </c>
      <c r="V8" s="50" t="str">
        <f>"*"</f>
        <v>*</v>
      </c>
      <c r="W8" s="50" t="s">
        <v>130</v>
      </c>
      <c r="X8" s="50" t="str">
        <f>"*"</f>
        <v>*</v>
      </c>
      <c r="Y8" s="50" t="str">
        <f>"*"</f>
        <v>*</v>
      </c>
      <c r="Z8" s="50" t="str">
        <f>"*"</f>
        <v>*</v>
      </c>
      <c r="AA8" s="50" t="s">
        <v>130</v>
      </c>
      <c r="AB8" s="50" t="str">
        <f>"*"</f>
        <v>*</v>
      </c>
      <c r="AC8" s="50" t="s">
        <v>130</v>
      </c>
      <c r="AD8" s="50" t="str">
        <f>"*"</f>
        <v>*</v>
      </c>
      <c r="AE8" s="50" t="s">
        <v>130</v>
      </c>
      <c r="AF8" s="50" t="str">
        <f>"*"</f>
        <v>*</v>
      </c>
      <c r="AG8" s="50" t="s">
        <v>130</v>
      </c>
      <c r="AI8" s="325"/>
    </row>
    <row r="9" spans="1:35" x14ac:dyDescent="0.35">
      <c r="B9" s="50" t="str">
        <f>"*"</f>
        <v>*</v>
      </c>
      <c r="C9" s="50" t="s">
        <v>130</v>
      </c>
      <c r="D9" s="50" t="s">
        <v>130</v>
      </c>
      <c r="E9" s="50" t="s">
        <v>130</v>
      </c>
      <c r="F9" s="50" t="s">
        <v>130</v>
      </c>
      <c r="G9" s="50" t="str">
        <f>"*"</f>
        <v>*</v>
      </c>
      <c r="H9" s="50" t="s">
        <v>130</v>
      </c>
      <c r="I9" s="50" t="str">
        <f>"*"</f>
        <v>*</v>
      </c>
      <c r="J9" s="50" t="s">
        <v>130</v>
      </c>
      <c r="K9" s="50" t="s">
        <v>130</v>
      </c>
      <c r="L9" s="50" t="str">
        <f>"*"</f>
        <v>*</v>
      </c>
      <c r="M9" s="50" t="s">
        <v>130</v>
      </c>
      <c r="N9" s="50" t="str">
        <f>"*"</f>
        <v>*</v>
      </c>
      <c r="O9" s="50" t="s">
        <v>130</v>
      </c>
      <c r="P9" s="50" t="str">
        <f>"*"</f>
        <v>*</v>
      </c>
      <c r="Q9" s="50" t="s">
        <v>130</v>
      </c>
      <c r="R9" s="50" t="s">
        <v>130</v>
      </c>
      <c r="S9" s="50" t="s">
        <v>130</v>
      </c>
      <c r="T9" s="50" t="str">
        <f>"*"</f>
        <v>*</v>
      </c>
      <c r="U9" s="50" t="s">
        <v>130</v>
      </c>
      <c r="V9" s="50" t="str">
        <f>"*"</f>
        <v>*</v>
      </c>
      <c r="W9" s="50" t="s">
        <v>130</v>
      </c>
      <c r="X9" s="50" t="s">
        <v>130</v>
      </c>
      <c r="Y9" s="50" t="str">
        <f>"*"</f>
        <v>*</v>
      </c>
      <c r="Z9" s="50" t="s">
        <v>130</v>
      </c>
      <c r="AA9" s="50" t="s">
        <v>130</v>
      </c>
      <c r="AB9" s="50" t="str">
        <f>"*"</f>
        <v>*</v>
      </c>
      <c r="AC9" s="50" t="s">
        <v>130</v>
      </c>
      <c r="AD9" s="50" t="str">
        <f>"*"</f>
        <v>*</v>
      </c>
      <c r="AE9" s="50" t="s">
        <v>130</v>
      </c>
      <c r="AF9" s="50" t="str">
        <f>"*"</f>
        <v>*</v>
      </c>
      <c r="AG9" s="50" t="s">
        <v>130</v>
      </c>
    </row>
    <row r="10" spans="1:35" x14ac:dyDescent="0.35">
      <c r="B10" s="50" t="str">
        <f>"*"</f>
        <v>*</v>
      </c>
      <c r="C10" s="50" t="str">
        <f>"*"</f>
        <v>*</v>
      </c>
      <c r="D10" s="50" t="str">
        <f>"*"</f>
        <v>*</v>
      </c>
      <c r="E10" s="50" t="s">
        <v>130</v>
      </c>
      <c r="F10" s="50" t="s">
        <v>130</v>
      </c>
      <c r="G10" s="50" t="s">
        <v>130</v>
      </c>
      <c r="H10" s="50" t="str">
        <f>"*"</f>
        <v>*</v>
      </c>
      <c r="I10" s="50" t="s">
        <v>130</v>
      </c>
      <c r="J10" s="50" t="s">
        <v>130</v>
      </c>
      <c r="K10" s="50" t="s">
        <v>130</v>
      </c>
      <c r="L10" s="50" t="str">
        <f>"*"</f>
        <v>*</v>
      </c>
      <c r="M10" s="50" t="str">
        <f>"*"</f>
        <v>*</v>
      </c>
      <c r="N10" s="50" t="str">
        <f>"*"</f>
        <v>*</v>
      </c>
      <c r="O10" s="50" t="s">
        <v>130</v>
      </c>
      <c r="P10" s="50" t="str">
        <f>"*"</f>
        <v>*</v>
      </c>
      <c r="Q10" s="50" t="str">
        <f>"*"</f>
        <v>*</v>
      </c>
      <c r="R10" s="50" t="str">
        <f>"*"</f>
        <v>*</v>
      </c>
      <c r="S10" s="50" t="s">
        <v>130</v>
      </c>
      <c r="T10" s="50" t="str">
        <f>"*"</f>
        <v>*</v>
      </c>
      <c r="U10" s="50" t="str">
        <f>"*"</f>
        <v>*</v>
      </c>
      <c r="V10" s="50" t="s">
        <v>130</v>
      </c>
      <c r="W10" s="50" t="s">
        <v>130</v>
      </c>
      <c r="X10" s="50" t="s">
        <v>130</v>
      </c>
      <c r="Y10" s="50" t="str">
        <f>"*"</f>
        <v>*</v>
      </c>
      <c r="Z10" s="50" t="s">
        <v>130</v>
      </c>
      <c r="AA10" s="50" t="s">
        <v>130</v>
      </c>
      <c r="AB10" s="50" t="str">
        <f>"*"</f>
        <v>*</v>
      </c>
      <c r="AC10" s="50" t="s">
        <v>130</v>
      </c>
      <c r="AD10" s="50" t="str">
        <f>"*"</f>
        <v>*</v>
      </c>
      <c r="AE10" s="50" t="s">
        <v>130</v>
      </c>
      <c r="AF10" s="50" t="str">
        <f>"*"</f>
        <v>*</v>
      </c>
      <c r="AG10" s="50" t="s">
        <v>130</v>
      </c>
    </row>
    <row r="11" spans="1:35" x14ac:dyDescent="0.35">
      <c r="B11" s="50" t="str">
        <f>"*"</f>
        <v>*</v>
      </c>
      <c r="C11" s="50" t="s">
        <v>130</v>
      </c>
      <c r="D11" s="50" t="s">
        <v>130</v>
      </c>
      <c r="E11" s="50" t="s">
        <v>130</v>
      </c>
      <c r="F11" s="50" t="s">
        <v>130</v>
      </c>
      <c r="G11" s="50" t="str">
        <f>"*"</f>
        <v>*</v>
      </c>
      <c r="H11" s="50" t="s">
        <v>130</v>
      </c>
      <c r="I11" s="50" t="str">
        <f>"*"</f>
        <v>*</v>
      </c>
      <c r="J11" s="50" t="s">
        <v>130</v>
      </c>
      <c r="K11" s="50" t="s">
        <v>130</v>
      </c>
      <c r="L11" s="50" t="str">
        <f>"*"</f>
        <v>*</v>
      </c>
      <c r="M11" s="50" t="s">
        <v>130</v>
      </c>
      <c r="N11" s="50" t="s">
        <v>130</v>
      </c>
      <c r="O11" s="50" t="s">
        <v>130</v>
      </c>
      <c r="P11" s="50" t="str">
        <f>"*"</f>
        <v>*</v>
      </c>
      <c r="Q11" s="50" t="s">
        <v>130</v>
      </c>
      <c r="R11" s="50" t="s">
        <v>130</v>
      </c>
      <c r="S11" s="50" t="s">
        <v>130</v>
      </c>
      <c r="T11" s="50" t="str">
        <f>"*"</f>
        <v>*</v>
      </c>
      <c r="U11" s="50" t="s">
        <v>130</v>
      </c>
      <c r="V11" s="50" t="str">
        <f>"*"</f>
        <v>*</v>
      </c>
      <c r="W11" s="50" t="s">
        <v>130</v>
      </c>
      <c r="X11" s="50" t="s">
        <v>130</v>
      </c>
      <c r="Y11" s="50" t="str">
        <f>"*"</f>
        <v>*</v>
      </c>
      <c r="Z11" s="50" t="s">
        <v>130</v>
      </c>
      <c r="AA11" s="50" t="s">
        <v>130</v>
      </c>
      <c r="AB11" s="50" t="s">
        <v>130</v>
      </c>
      <c r="AC11" s="50" t="s">
        <v>130</v>
      </c>
      <c r="AD11" s="50" t="s">
        <v>130</v>
      </c>
      <c r="AE11" s="50" t="s">
        <v>130</v>
      </c>
      <c r="AF11" s="50" t="s">
        <v>130</v>
      </c>
      <c r="AG11" s="50" t="s">
        <v>130</v>
      </c>
    </row>
    <row r="12" spans="1:35" x14ac:dyDescent="0.35">
      <c r="B12" s="50" t="str">
        <f>"*"</f>
        <v>*</v>
      </c>
      <c r="C12" s="50" t="str">
        <f>"*"</f>
        <v>*</v>
      </c>
      <c r="D12" s="50" t="str">
        <f>"*"</f>
        <v>*</v>
      </c>
      <c r="E12" s="50" t="s">
        <v>130</v>
      </c>
      <c r="F12" s="50" t="str">
        <f>"*"</f>
        <v>*</v>
      </c>
      <c r="G12" s="50" t="s">
        <v>130</v>
      </c>
      <c r="H12" s="50" t="s">
        <v>130</v>
      </c>
      <c r="I12" s="50" t="s">
        <v>130</v>
      </c>
      <c r="J12" s="50" t="str">
        <f>"*"</f>
        <v>*</v>
      </c>
      <c r="K12" s="50" t="s">
        <v>130</v>
      </c>
      <c r="L12" s="50" t="str">
        <f>"*"</f>
        <v>*</v>
      </c>
      <c r="M12" s="50" t="s">
        <v>130</v>
      </c>
      <c r="N12" s="50" t="s">
        <v>130</v>
      </c>
      <c r="O12" s="50" t="s">
        <v>130</v>
      </c>
      <c r="P12" s="50" t="str">
        <f>"*"</f>
        <v>*</v>
      </c>
      <c r="Q12" s="50" t="str">
        <f>"*"</f>
        <v>*</v>
      </c>
      <c r="R12" s="50" t="str">
        <f>"*"</f>
        <v>*</v>
      </c>
      <c r="S12" s="50" t="s">
        <v>130</v>
      </c>
      <c r="T12" s="50" t="str">
        <f>"*"</f>
        <v>*</v>
      </c>
      <c r="U12" s="50" t="s">
        <v>130</v>
      </c>
      <c r="V12" s="50" t="s">
        <v>130</v>
      </c>
      <c r="W12" s="50" t="str">
        <f>"*"</f>
        <v>*</v>
      </c>
      <c r="X12" s="50" t="s">
        <v>130</v>
      </c>
      <c r="Y12" s="50" t="str">
        <f>"*"</f>
        <v>*</v>
      </c>
      <c r="Z12" s="50" t="s">
        <v>130</v>
      </c>
      <c r="AA12" s="50" t="s">
        <v>130</v>
      </c>
      <c r="AB12" s="50" t="str">
        <f>"*"</f>
        <v>*</v>
      </c>
      <c r="AC12" s="50" t="s">
        <v>130</v>
      </c>
      <c r="AD12" s="50" t="str">
        <f>"*"</f>
        <v>*</v>
      </c>
      <c r="AE12" s="50" t="s">
        <v>130</v>
      </c>
      <c r="AF12" s="50" t="str">
        <f>"*"</f>
        <v>*</v>
      </c>
      <c r="AG12" s="50" t="s">
        <v>130</v>
      </c>
    </row>
    <row r="13" spans="1:35" x14ac:dyDescent="0.35">
      <c r="A13" s="51"/>
      <c r="B13" s="50" t="s">
        <v>130</v>
      </c>
      <c r="C13" s="50" t="s">
        <v>130</v>
      </c>
      <c r="D13" s="50" t="s">
        <v>130</v>
      </c>
      <c r="E13" s="50" t="s">
        <v>130</v>
      </c>
      <c r="F13" s="50" t="s">
        <v>130</v>
      </c>
      <c r="G13" s="50" t="s">
        <v>130</v>
      </c>
      <c r="H13" s="50" t="s">
        <v>130</v>
      </c>
      <c r="I13" s="50" t="s">
        <v>130</v>
      </c>
      <c r="J13" s="50" t="s">
        <v>130</v>
      </c>
      <c r="K13" s="50" t="s">
        <v>130</v>
      </c>
      <c r="L13" s="50" t="s">
        <v>130</v>
      </c>
      <c r="M13" s="50" t="s">
        <v>130</v>
      </c>
      <c r="N13" s="50" t="s">
        <v>130</v>
      </c>
      <c r="O13" s="50" t="s">
        <v>130</v>
      </c>
      <c r="P13" s="50" t="s">
        <v>130</v>
      </c>
      <c r="Q13" s="50" t="s">
        <v>130</v>
      </c>
      <c r="R13" s="50" t="s">
        <v>130</v>
      </c>
      <c r="S13" s="50" t="s">
        <v>130</v>
      </c>
      <c r="T13" s="50" t="s">
        <v>130</v>
      </c>
      <c r="U13" s="50" t="s">
        <v>130</v>
      </c>
      <c r="V13" s="50" t="s">
        <v>130</v>
      </c>
      <c r="W13" s="50" t="s">
        <v>130</v>
      </c>
      <c r="X13" s="50" t="s">
        <v>130</v>
      </c>
      <c r="Y13" s="50" t="s">
        <v>130</v>
      </c>
      <c r="Z13" s="50" t="s">
        <v>130</v>
      </c>
      <c r="AA13" s="50" t="s">
        <v>130</v>
      </c>
      <c r="AB13" s="50" t="s">
        <v>130</v>
      </c>
      <c r="AC13" s="50" t="s">
        <v>130</v>
      </c>
      <c r="AD13" s="50" t="s">
        <v>130</v>
      </c>
      <c r="AE13" s="50" t="s">
        <v>130</v>
      </c>
      <c r="AF13" s="50" t="s">
        <v>130</v>
      </c>
      <c r="AG13" s="50" t="s">
        <v>130</v>
      </c>
    </row>
    <row r="14" spans="1:35" x14ac:dyDescent="0.35">
      <c r="B14" s="50" t="s">
        <v>130</v>
      </c>
      <c r="C14" s="50" t="s">
        <v>130</v>
      </c>
      <c r="D14" s="50" t="s">
        <v>130</v>
      </c>
      <c r="E14" s="50" t="s">
        <v>130</v>
      </c>
      <c r="F14" s="50" t="s">
        <v>130</v>
      </c>
      <c r="G14" s="50" t="s">
        <v>130</v>
      </c>
      <c r="H14" s="50" t="s">
        <v>130</v>
      </c>
      <c r="I14" s="50" t="s">
        <v>130</v>
      </c>
      <c r="J14" s="50" t="s">
        <v>130</v>
      </c>
      <c r="K14" s="50" t="s">
        <v>130</v>
      </c>
      <c r="L14" s="50" t="s">
        <v>130</v>
      </c>
      <c r="M14" s="50" t="s">
        <v>130</v>
      </c>
      <c r="N14" s="50" t="s">
        <v>130</v>
      </c>
      <c r="O14" s="50" t="s">
        <v>130</v>
      </c>
      <c r="P14" s="50" t="s">
        <v>130</v>
      </c>
      <c r="Q14" s="50" t="s">
        <v>130</v>
      </c>
      <c r="R14" s="50" t="s">
        <v>130</v>
      </c>
      <c r="S14" s="50" t="s">
        <v>130</v>
      </c>
      <c r="T14" s="50" t="s">
        <v>130</v>
      </c>
      <c r="U14" s="50" t="s">
        <v>130</v>
      </c>
      <c r="V14" s="50" t="s">
        <v>130</v>
      </c>
      <c r="W14" s="50" t="s">
        <v>130</v>
      </c>
      <c r="X14" s="50" t="s">
        <v>130</v>
      </c>
      <c r="Y14" s="50" t="s">
        <v>130</v>
      </c>
      <c r="Z14" s="50" t="s">
        <v>130</v>
      </c>
      <c r="AA14" s="50" t="s">
        <v>130</v>
      </c>
      <c r="AB14" s="50" t="s">
        <v>130</v>
      </c>
      <c r="AC14" s="50" t="s">
        <v>130</v>
      </c>
      <c r="AD14" s="50" t="s">
        <v>130</v>
      </c>
      <c r="AE14" s="50" t="s">
        <v>130</v>
      </c>
      <c r="AF14" s="50" t="s">
        <v>130</v>
      </c>
      <c r="AG14" s="50" t="s">
        <v>130</v>
      </c>
    </row>
    <row r="18" spans="1:38" x14ac:dyDescent="0.35">
      <c r="A18" s="51"/>
    </row>
    <row r="23" spans="1:38" x14ac:dyDescent="0.35">
      <c r="A23" s="51"/>
    </row>
    <row r="24" spans="1:38" x14ac:dyDescent="0.35">
      <c r="AL24" s="326"/>
    </row>
    <row r="28" spans="1:38" x14ac:dyDescent="0.35">
      <c r="A28" s="51"/>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E4C2-3121-4A6D-BDF1-CEDC3A735AD6}">
  <sheetPr codeName="Sheet1">
    <tabColor rgb="FFFFFF00"/>
  </sheetPr>
  <dimension ref="A1:F56"/>
  <sheetViews>
    <sheetView workbookViewId="0"/>
  </sheetViews>
  <sheetFormatPr defaultRowHeight="14.5" x14ac:dyDescent="0.35"/>
  <cols>
    <col min="1" max="1" width="7.453125" customWidth="1"/>
    <col min="2" max="2" width="84.81640625" style="23" customWidth="1"/>
    <col min="3" max="6" width="14.08984375" customWidth="1"/>
  </cols>
  <sheetData>
    <row r="1" spans="2:5" s="50" customFormat="1" x14ac:dyDescent="0.35"/>
    <row r="2" spans="2:5" s="50" customFormat="1" ht="15" customHeight="1" thickBot="1" x14ac:dyDescent="0.4">
      <c r="B2" s="83"/>
    </row>
    <row r="3" spans="2:5" s="50" customFormat="1" ht="18.75" customHeight="1" x14ac:dyDescent="0.45">
      <c r="B3" s="459" t="s">
        <v>1263</v>
      </c>
    </row>
    <row r="4" spans="2:5" s="50" customFormat="1" ht="18.5" x14ac:dyDescent="0.45">
      <c r="B4" s="460"/>
    </row>
    <row r="5" spans="2:5" s="50" customFormat="1" ht="15.5" x14ac:dyDescent="0.35">
      <c r="B5" s="461" t="s">
        <v>234</v>
      </c>
    </row>
    <row r="6" spans="2:5" s="50" customFormat="1" x14ac:dyDescent="0.35">
      <c r="B6" s="462" t="s">
        <v>1264</v>
      </c>
    </row>
    <row r="7" spans="2:5" s="50" customFormat="1" x14ac:dyDescent="0.35">
      <c r="B7" s="462" t="s">
        <v>1265</v>
      </c>
    </row>
    <row r="8" spans="2:5" s="50" customFormat="1" x14ac:dyDescent="0.35">
      <c r="B8" s="462" t="s">
        <v>1266</v>
      </c>
    </row>
    <row r="9" spans="2:5" s="50" customFormat="1" ht="18.5" x14ac:dyDescent="0.45">
      <c r="B9" s="460"/>
      <c r="E9" s="78"/>
    </row>
    <row r="10" spans="2:5" s="50" customFormat="1" ht="15.5" x14ac:dyDescent="0.35">
      <c r="B10" s="461" t="s">
        <v>372</v>
      </c>
    </row>
    <row r="11" spans="2:5" s="50" customFormat="1" x14ac:dyDescent="0.35">
      <c r="B11" s="462" t="s">
        <v>1267</v>
      </c>
    </row>
    <row r="12" spans="2:5" x14ac:dyDescent="0.35">
      <c r="B12" s="462" t="s">
        <v>1268</v>
      </c>
    </row>
    <row r="13" spans="2:5" s="50" customFormat="1" x14ac:dyDescent="0.35">
      <c r="B13" s="462"/>
    </row>
    <row r="14" spans="2:5" s="50" customFormat="1" ht="15.5" x14ac:dyDescent="0.35">
      <c r="B14" s="461" t="s">
        <v>237</v>
      </c>
    </row>
    <row r="15" spans="2:5" s="50" customFormat="1" x14ac:dyDescent="0.35">
      <c r="B15" s="462" t="s">
        <v>1269</v>
      </c>
    </row>
    <row r="16" spans="2:5" s="50" customFormat="1" x14ac:dyDescent="0.35">
      <c r="B16" s="462" t="s">
        <v>1270</v>
      </c>
    </row>
    <row r="17" spans="1:6" s="50" customFormat="1" ht="15" thickBot="1" x14ac:dyDescent="0.4">
      <c r="B17" s="458"/>
    </row>
    <row r="18" spans="1:6" s="50" customFormat="1" x14ac:dyDescent="0.35">
      <c r="B18" s="83"/>
    </row>
    <row r="19" spans="1:6" s="466" customFormat="1" ht="18.5" x14ac:dyDescent="0.45">
      <c r="A19" s="463" t="s">
        <v>130</v>
      </c>
      <c r="B19" s="464" t="s">
        <v>882</v>
      </c>
      <c r="C19" s="464"/>
      <c r="D19" s="465"/>
    </row>
    <row r="20" spans="1:6" s="50" customFormat="1" x14ac:dyDescent="0.35">
      <c r="B20" s="453" t="s">
        <v>881</v>
      </c>
      <c r="C20" s="457"/>
      <c r="D20" s="454"/>
    </row>
    <row r="21" spans="1:6" s="50" customFormat="1" x14ac:dyDescent="0.35">
      <c r="B21" s="455" t="s">
        <v>880</v>
      </c>
      <c r="C21" s="456"/>
      <c r="D21" s="456"/>
    </row>
    <row r="22" spans="1:6" s="50" customFormat="1" x14ac:dyDescent="0.35">
      <c r="B22" s="455" t="s">
        <v>862</v>
      </c>
      <c r="C22" s="457"/>
      <c r="D22" s="456"/>
    </row>
    <row r="23" spans="1:6" s="50" customFormat="1" x14ac:dyDescent="0.35">
      <c r="B23" s="455" t="s">
        <v>856</v>
      </c>
      <c r="C23" s="457"/>
      <c r="D23" s="456"/>
    </row>
    <row r="24" spans="1:6" s="50" customFormat="1" x14ac:dyDescent="0.35">
      <c r="B24" s="351"/>
    </row>
    <row r="25" spans="1:6" s="101" customFormat="1" ht="18.5" x14ac:dyDescent="0.45">
      <c r="A25" s="98" t="s">
        <v>130</v>
      </c>
      <c r="B25" s="99" t="s">
        <v>238</v>
      </c>
      <c r="C25" s="99"/>
      <c r="D25" s="100"/>
      <c r="F25" s="101" t="s">
        <v>855</v>
      </c>
    </row>
    <row r="26" spans="1:6" x14ac:dyDescent="0.35">
      <c r="A26" s="391"/>
      <c r="B26" s="23" t="s">
        <v>879</v>
      </c>
      <c r="C26" s="392" t="s">
        <v>878</v>
      </c>
    </row>
    <row r="27" spans="1:6" ht="29" x14ac:dyDescent="0.35">
      <c r="A27" s="391"/>
      <c r="B27" s="23" t="s">
        <v>877</v>
      </c>
    </row>
    <row r="28" spans="1:6" ht="29" x14ac:dyDescent="0.35">
      <c r="A28" s="391"/>
      <c r="B28" s="102" t="s">
        <v>876</v>
      </c>
    </row>
    <row r="29" spans="1:6" x14ac:dyDescent="0.35">
      <c r="A29" s="391"/>
      <c r="B29" s="23" t="s">
        <v>875</v>
      </c>
    </row>
    <row r="30" spans="1:6" ht="29" x14ac:dyDescent="0.35">
      <c r="A30" s="391"/>
      <c r="B30" s="23" t="s">
        <v>874</v>
      </c>
    </row>
    <row r="32" spans="1:6" s="94" customFormat="1" ht="18.5" x14ac:dyDescent="0.45">
      <c r="A32" s="93" t="s">
        <v>130</v>
      </c>
      <c r="B32" s="95" t="s">
        <v>873</v>
      </c>
    </row>
    <row r="33" spans="1:6" x14ac:dyDescent="0.35">
      <c r="A33" s="391"/>
      <c r="B33" s="23" t="s">
        <v>872</v>
      </c>
    </row>
    <row r="34" spans="1:6" x14ac:dyDescent="0.35">
      <c r="A34" s="391"/>
      <c r="B34" s="23" t="s">
        <v>871</v>
      </c>
    </row>
    <row r="35" spans="1:6" x14ac:dyDescent="0.35">
      <c r="A35" s="391"/>
      <c r="B35" s="23" t="s">
        <v>870</v>
      </c>
    </row>
    <row r="36" spans="1:6" x14ac:dyDescent="0.35">
      <c r="A36" s="391"/>
      <c r="B36" s="23" t="s">
        <v>869</v>
      </c>
    </row>
    <row r="38" spans="1:6" s="94" customFormat="1" ht="18.5" x14ac:dyDescent="0.45">
      <c r="A38" s="93" t="s">
        <v>130</v>
      </c>
      <c r="B38" s="95" t="s">
        <v>868</v>
      </c>
    </row>
    <row r="39" spans="1:6" x14ac:dyDescent="0.35">
      <c r="A39" s="391"/>
      <c r="B39" s="23" t="s">
        <v>867</v>
      </c>
    </row>
    <row r="40" spans="1:6" x14ac:dyDescent="0.35">
      <c r="A40" s="391"/>
      <c r="B40" s="23" t="s">
        <v>866</v>
      </c>
    </row>
    <row r="42" spans="1:6" s="94" customFormat="1" ht="18.5" x14ac:dyDescent="0.45">
      <c r="A42" s="93" t="s">
        <v>130</v>
      </c>
      <c r="B42" s="95" t="s">
        <v>865</v>
      </c>
    </row>
    <row r="43" spans="1:6" ht="29" x14ac:dyDescent="0.35">
      <c r="A43" s="391"/>
      <c r="B43" s="23" t="s">
        <v>864</v>
      </c>
    </row>
    <row r="44" spans="1:6" ht="43.5" x14ac:dyDescent="0.35">
      <c r="A44" s="391"/>
      <c r="B44" s="23" t="s">
        <v>863</v>
      </c>
    </row>
    <row r="46" spans="1:6" s="101" customFormat="1" ht="18.5" x14ac:dyDescent="0.45">
      <c r="A46" s="98" t="s">
        <v>130</v>
      </c>
      <c r="B46" s="99" t="s">
        <v>1262</v>
      </c>
      <c r="C46" s="99"/>
      <c r="D46" s="100"/>
      <c r="F46" s="101" t="s">
        <v>855</v>
      </c>
    </row>
    <row r="47" spans="1:6" x14ac:dyDescent="0.35">
      <c r="A47" s="391"/>
      <c r="B47" s="23" t="s">
        <v>861</v>
      </c>
    </row>
    <row r="48" spans="1:6" x14ac:dyDescent="0.35">
      <c r="A48" s="391"/>
      <c r="B48" s="23" t="s">
        <v>860</v>
      </c>
    </row>
    <row r="49" spans="1:6" ht="29" x14ac:dyDescent="0.35">
      <c r="A49" s="391"/>
      <c r="B49" s="23" t="s">
        <v>859</v>
      </c>
    </row>
    <row r="50" spans="1:6" ht="43.5" x14ac:dyDescent="0.35">
      <c r="A50" s="391"/>
      <c r="B50" s="23" t="s">
        <v>858</v>
      </c>
    </row>
    <row r="51" spans="1:6" ht="29" x14ac:dyDescent="0.35">
      <c r="A51" s="391"/>
      <c r="B51" s="23" t="s">
        <v>857</v>
      </c>
    </row>
    <row r="53" spans="1:6" s="101" customFormat="1" ht="18.5" x14ac:dyDescent="0.45">
      <c r="A53" s="98" t="s">
        <v>130</v>
      </c>
      <c r="B53" s="99" t="s">
        <v>256</v>
      </c>
      <c r="C53" s="99"/>
      <c r="D53" s="100"/>
      <c r="F53" s="101" t="s">
        <v>855</v>
      </c>
    </row>
    <row r="54" spans="1:6" ht="29" x14ac:dyDescent="0.35">
      <c r="A54" s="391"/>
      <c r="B54" s="23" t="s">
        <v>854</v>
      </c>
    </row>
    <row r="55" spans="1:6" ht="29" x14ac:dyDescent="0.35">
      <c r="A55" s="391"/>
      <c r="B55" s="23" t="s">
        <v>853</v>
      </c>
    </row>
    <row r="56" spans="1:6" x14ac:dyDescent="0.35">
      <c r="A56" s="391"/>
      <c r="B56" s="23" t="s">
        <v>852</v>
      </c>
    </row>
  </sheetData>
  <hyperlinks>
    <hyperlink ref="B21" location="HowTo" display="How to get Flash Fill to work" xr:uid="{1B556844-AE4F-4827-A109-3C1350383C29}"/>
    <hyperlink ref="B22" location="Prerequesite" display="What needs to be in place for Flash Fill to work" xr:uid="{28A16757-D702-4213-AFD3-F14143FECCF4}"/>
    <hyperlink ref="C26" location="Prerequesite" display="Over here!" xr:uid="{DFAB2B03-F48E-4478-AA25-BD59EC0B8127}"/>
    <hyperlink ref="B23" location="ImportantNotes" display="Flash Fill for experts" xr:uid="{F77D821D-66D3-44A2-A677-17A905410C73}"/>
    <hyperlink ref="F25" location="Top" display="Top" xr:uid="{9A1904C3-548D-4F6E-B1F5-618B0B20134F}"/>
    <hyperlink ref="F46" location="Top" display="Top" xr:uid="{271F69A0-4E36-43AD-89DD-41EF1AF6AA07}"/>
    <hyperlink ref="F53" location="Top" display="Top" xr:uid="{D613D88E-D1A3-4AF9-B576-897B1B1EA138}"/>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47BB-76D1-4106-9AD9-17808005E3CF}">
  <sheetPr codeName="Sheet2">
    <tabColor theme="8" tint="-0.499984740745262"/>
  </sheetPr>
  <dimension ref="A1:AV204"/>
  <sheetViews>
    <sheetView workbookViewId="0">
      <selection activeCell="C1" sqref="C1"/>
    </sheetView>
  </sheetViews>
  <sheetFormatPr defaultRowHeight="14.5" x14ac:dyDescent="0.35"/>
  <cols>
    <col min="1" max="1" width="2.54296875" customWidth="1"/>
    <col min="2" max="2" width="29.1796875" customWidth="1"/>
    <col min="3" max="5" width="16.1796875" customWidth="1"/>
    <col min="6" max="6" width="14.08984375" customWidth="1"/>
    <col min="44" max="44" width="26.54296875" customWidth="1"/>
    <col min="45" max="45" width="15.6328125" customWidth="1"/>
    <col min="46" max="46" width="19" customWidth="1"/>
    <col min="47" max="47" width="11.08984375" customWidth="1"/>
    <col min="48" max="48" width="2.08984375" customWidth="1"/>
  </cols>
  <sheetData>
    <row r="1" spans="1:48" s="50" customFormat="1" ht="19" thickTop="1" x14ac:dyDescent="0.35">
      <c r="C1" s="80" t="s">
        <v>1055</v>
      </c>
      <c r="D1" s="80" t="s">
        <v>1235</v>
      </c>
      <c r="T1" s="469" t="s">
        <v>1057</v>
      </c>
      <c r="AR1" s="470" t="s">
        <v>24</v>
      </c>
      <c r="AS1" s="471" t="s">
        <v>1218</v>
      </c>
      <c r="AT1" s="471" t="s">
        <v>1219</v>
      </c>
      <c r="AU1" s="472" t="s">
        <v>1052</v>
      </c>
      <c r="AV1" s="51"/>
    </row>
    <row r="2" spans="1:48" s="50" customFormat="1" x14ac:dyDescent="0.35"/>
    <row r="3" spans="1:48" s="107" customFormat="1" ht="18.5" x14ac:dyDescent="0.45">
      <c r="A3" s="104" t="s">
        <v>130</v>
      </c>
      <c r="B3" s="105" t="s">
        <v>1056</v>
      </c>
      <c r="C3" s="106"/>
      <c r="AR3" s="107" t="s">
        <v>1220</v>
      </c>
    </row>
    <row r="4" spans="1:48" s="50" customFormat="1" x14ac:dyDescent="0.35">
      <c r="AR4" s="467" t="s">
        <v>1221</v>
      </c>
      <c r="AU4" s="468"/>
    </row>
    <row r="5" spans="1:48" s="466" customFormat="1" ht="18.5" x14ac:dyDescent="0.45">
      <c r="A5" s="463" t="s">
        <v>130</v>
      </c>
      <c r="B5" s="464" t="s">
        <v>882</v>
      </c>
      <c r="C5" s="464"/>
      <c r="D5" s="465"/>
      <c r="AR5" s="466" t="s">
        <v>1222</v>
      </c>
    </row>
    <row r="6" spans="1:48" s="50" customFormat="1" x14ac:dyDescent="0.35">
      <c r="B6" s="453" t="s">
        <v>881</v>
      </c>
      <c r="C6" s="454"/>
      <c r="D6" s="454"/>
      <c r="AR6" s="467" t="s">
        <v>1223</v>
      </c>
      <c r="AU6" s="468"/>
    </row>
    <row r="7" spans="1:48" s="50" customFormat="1" x14ac:dyDescent="0.35">
      <c r="B7" s="455" t="s">
        <v>1054</v>
      </c>
      <c r="C7" s="456"/>
      <c r="D7" s="456"/>
      <c r="AR7" s="467" t="s">
        <v>1224</v>
      </c>
      <c r="AU7" s="468"/>
    </row>
    <row r="8" spans="1:48" s="50" customFormat="1" x14ac:dyDescent="0.35">
      <c r="B8" s="455" t="s">
        <v>1019</v>
      </c>
      <c r="C8" s="456"/>
      <c r="D8" s="456"/>
      <c r="AR8" s="467" t="s">
        <v>1225</v>
      </c>
      <c r="AU8" s="468"/>
    </row>
    <row r="9" spans="1:48" s="50" customFormat="1" x14ac:dyDescent="0.35">
      <c r="B9" s="455" t="s">
        <v>990</v>
      </c>
      <c r="C9" s="456"/>
      <c r="D9" s="456"/>
      <c r="AR9" s="467" t="s">
        <v>1226</v>
      </c>
      <c r="AU9" s="468"/>
    </row>
    <row r="10" spans="1:48" s="50" customFormat="1" x14ac:dyDescent="0.35">
      <c r="B10" s="455" t="s">
        <v>947</v>
      </c>
      <c r="C10" s="456"/>
      <c r="D10" s="456"/>
      <c r="AR10" s="467" t="s">
        <v>1227</v>
      </c>
      <c r="AU10" s="468"/>
    </row>
    <row r="11" spans="1:48" s="50" customFormat="1" x14ac:dyDescent="0.35">
      <c r="B11" s="455" t="s">
        <v>909</v>
      </c>
      <c r="C11" s="456"/>
      <c r="D11" s="456"/>
      <c r="AR11" s="467" t="s">
        <v>1228</v>
      </c>
      <c r="AU11" s="468"/>
    </row>
    <row r="12" spans="1:48" s="50" customFormat="1" x14ac:dyDescent="0.35">
      <c r="B12" s="455" t="s">
        <v>1329</v>
      </c>
      <c r="C12" s="456"/>
      <c r="D12" s="456"/>
      <c r="AR12" s="467"/>
      <c r="AU12" s="468"/>
    </row>
    <row r="13" spans="1:48" s="50" customFormat="1" x14ac:dyDescent="0.35">
      <c r="B13" s="455" t="s">
        <v>1330</v>
      </c>
      <c r="C13" s="456"/>
      <c r="D13" s="456"/>
      <c r="AR13" s="467"/>
      <c r="AU13" s="468"/>
    </row>
    <row r="14" spans="1:48" s="50" customFormat="1" x14ac:dyDescent="0.35">
      <c r="AR14" s="467" t="s">
        <v>1229</v>
      </c>
      <c r="AU14" s="468"/>
    </row>
    <row r="15" spans="1:48" s="96" customFormat="1" ht="18.5" x14ac:dyDescent="0.45">
      <c r="A15" s="117" t="s">
        <v>130</v>
      </c>
      <c r="B15" s="96" t="s">
        <v>1054</v>
      </c>
      <c r="F15" s="96" t="s">
        <v>855</v>
      </c>
      <c r="AR15" s="96" t="s">
        <v>1230</v>
      </c>
    </row>
    <row r="16" spans="1:48" ht="15" thickBot="1" x14ac:dyDescent="0.4">
      <c r="AR16" s="450" t="s">
        <v>1231</v>
      </c>
      <c r="AS16" s="451"/>
      <c r="AT16" s="451"/>
      <c r="AU16" s="452"/>
    </row>
    <row r="17" spans="2:23" ht="16.5" customHeight="1" thickTop="1" x14ac:dyDescent="0.45">
      <c r="B17" s="478" t="s">
        <v>359</v>
      </c>
      <c r="C17" s="105"/>
      <c r="D17" s="105"/>
      <c r="E17" s="105"/>
      <c r="F17" s="105"/>
    </row>
    <row r="18" spans="2:23" x14ac:dyDescent="0.35">
      <c r="B18" t="s">
        <v>1053</v>
      </c>
    </row>
    <row r="20" spans="2:23" ht="15" thickBot="1" x14ac:dyDescent="0.4">
      <c r="B20" s="475" t="s">
        <v>905</v>
      </c>
      <c r="C20" s="473"/>
      <c r="D20" s="473"/>
      <c r="E20" s="473"/>
      <c r="F20" s="474"/>
    </row>
    <row r="21" spans="2:23" ht="15" thickBot="1" x14ac:dyDescent="0.4">
      <c r="B21" s="405" t="s">
        <v>1014</v>
      </c>
      <c r="C21" s="415" t="s">
        <v>25</v>
      </c>
      <c r="D21" s="415" t="s">
        <v>26</v>
      </c>
      <c r="E21" s="415" t="s">
        <v>1052</v>
      </c>
    </row>
    <row r="22" spans="2:23" ht="15" thickBot="1" x14ac:dyDescent="0.4">
      <c r="B22" s="405" t="s">
        <v>1017</v>
      </c>
      <c r="C22" s="410" t="s">
        <v>1051</v>
      </c>
      <c r="D22" s="413" t="s">
        <v>1050</v>
      </c>
      <c r="E22" s="409" t="s">
        <v>1049</v>
      </c>
    </row>
    <row r="24" spans="2:23" ht="15" thickBot="1" x14ac:dyDescent="0.4">
      <c r="B24" s="477" t="s">
        <v>904</v>
      </c>
      <c r="C24" s="476"/>
      <c r="D24" s="476"/>
      <c r="E24" s="476"/>
      <c r="F24" s="476"/>
    </row>
    <row r="26" spans="2:23" x14ac:dyDescent="0.35">
      <c r="B26" s="412" t="s">
        <v>1014</v>
      </c>
      <c r="C26" s="280" t="s">
        <v>25</v>
      </c>
      <c r="D26" s="280" t="s">
        <v>26</v>
      </c>
      <c r="E26" s="280" t="s">
        <v>1052</v>
      </c>
      <c r="F26" s="1"/>
      <c r="T26" s="414" t="s">
        <v>25</v>
      </c>
      <c r="U26" s="414" t="s">
        <v>26</v>
      </c>
      <c r="V26" s="414" t="s">
        <v>1052</v>
      </c>
    </row>
    <row r="27" spans="2:23" x14ac:dyDescent="0.35">
      <c r="B27" s="411" t="s">
        <v>1012</v>
      </c>
      <c r="C27" s="21"/>
      <c r="D27" s="21"/>
      <c r="E27" s="21"/>
      <c r="U27" s="88" t="s">
        <v>1051</v>
      </c>
      <c r="V27" s="88" t="s">
        <v>1050</v>
      </c>
      <c r="W27" s="88" t="s">
        <v>1049</v>
      </c>
    </row>
    <row r="28" spans="2:23" x14ac:dyDescent="0.35">
      <c r="B28" s="411" t="s">
        <v>1048</v>
      </c>
      <c r="C28" s="21"/>
      <c r="D28" s="21"/>
      <c r="E28" s="21"/>
      <c r="U28" s="88" t="s">
        <v>1047</v>
      </c>
      <c r="V28" s="88" t="s">
        <v>1009</v>
      </c>
      <c r="W28" s="88" t="s">
        <v>1046</v>
      </c>
    </row>
    <row r="29" spans="2:23" x14ac:dyDescent="0.35">
      <c r="B29" s="411" t="s">
        <v>1045</v>
      </c>
      <c r="C29" s="21"/>
      <c r="D29" s="21"/>
      <c r="E29" s="21"/>
      <c r="U29" s="88" t="s">
        <v>1044</v>
      </c>
      <c r="V29" s="88" t="s">
        <v>1007</v>
      </c>
      <c r="W29" s="88" t="s">
        <v>1043</v>
      </c>
    </row>
    <row r="30" spans="2:23" x14ac:dyDescent="0.35">
      <c r="B30" s="411" t="s">
        <v>1042</v>
      </c>
      <c r="C30" s="21"/>
      <c r="D30" s="21"/>
      <c r="E30" s="21"/>
      <c r="U30" s="88" t="s">
        <v>1041</v>
      </c>
      <c r="V30" s="88" t="s">
        <v>1005</v>
      </c>
      <c r="W30" s="88" t="s">
        <v>1040</v>
      </c>
    </row>
    <row r="31" spans="2:23" x14ac:dyDescent="0.35">
      <c r="B31" s="411" t="s">
        <v>1004</v>
      </c>
      <c r="C31" s="21"/>
      <c r="D31" s="21"/>
      <c r="E31" s="21"/>
      <c r="U31" s="88" t="s">
        <v>1039</v>
      </c>
      <c r="V31" s="88" t="s">
        <v>1038</v>
      </c>
      <c r="W31" s="88" t="s">
        <v>94</v>
      </c>
    </row>
    <row r="32" spans="2:23" x14ac:dyDescent="0.35">
      <c r="B32" s="411" t="s">
        <v>1002</v>
      </c>
      <c r="C32" s="21"/>
      <c r="D32" s="21"/>
      <c r="E32" s="21"/>
      <c r="U32" s="88" t="s">
        <v>1037</v>
      </c>
      <c r="V32" s="88" t="s">
        <v>1036</v>
      </c>
      <c r="W32" s="88" t="s">
        <v>1035</v>
      </c>
    </row>
    <row r="33" spans="1:23" x14ac:dyDescent="0.35">
      <c r="B33" s="411" t="s">
        <v>1000</v>
      </c>
      <c r="C33" s="21"/>
      <c r="D33" s="21"/>
      <c r="E33" s="21"/>
      <c r="U33" s="88" t="s">
        <v>1034</v>
      </c>
      <c r="V33" s="88" t="s">
        <v>1033</v>
      </c>
      <c r="W33" s="88" t="s">
        <v>1032</v>
      </c>
    </row>
    <row r="34" spans="1:23" x14ac:dyDescent="0.35">
      <c r="B34" s="411" t="s">
        <v>998</v>
      </c>
      <c r="C34" s="21"/>
      <c r="D34" s="21"/>
      <c r="E34" s="21"/>
      <c r="U34" s="88" t="s">
        <v>1031</v>
      </c>
      <c r="V34" s="88" t="s">
        <v>1030</v>
      </c>
      <c r="W34" s="88" t="s">
        <v>1029</v>
      </c>
    </row>
    <row r="35" spans="1:23" x14ac:dyDescent="0.35">
      <c r="B35" s="411" t="s">
        <v>1028</v>
      </c>
      <c r="C35" s="21"/>
      <c r="D35" s="21"/>
      <c r="E35" s="21"/>
      <c r="U35" s="88" t="s">
        <v>1027</v>
      </c>
      <c r="V35" s="88" t="s">
        <v>995</v>
      </c>
      <c r="W35" s="88" t="s">
        <v>1026</v>
      </c>
    </row>
    <row r="36" spans="1:23" x14ac:dyDescent="0.35">
      <c r="B36" s="411" t="s">
        <v>1025</v>
      </c>
      <c r="C36" s="21"/>
      <c r="D36" s="21"/>
      <c r="E36" s="21"/>
      <c r="U36" s="88" t="s">
        <v>1024</v>
      </c>
      <c r="V36" s="88" t="s">
        <v>993</v>
      </c>
      <c r="W36" s="88" t="s">
        <v>1023</v>
      </c>
    </row>
    <row r="37" spans="1:23" x14ac:dyDescent="0.35">
      <c r="B37" s="411" t="s">
        <v>992</v>
      </c>
      <c r="C37" s="21"/>
      <c r="D37" s="21"/>
      <c r="E37" s="21"/>
      <c r="U37" s="88" t="s">
        <v>1022</v>
      </c>
      <c r="V37" s="88" t="s">
        <v>1021</v>
      </c>
      <c r="W37" s="88" t="s">
        <v>1020</v>
      </c>
    </row>
    <row r="39" spans="1:23" s="96" customFormat="1" ht="18.5" x14ac:dyDescent="0.45">
      <c r="A39" s="117" t="s">
        <v>130</v>
      </c>
      <c r="B39" s="96" t="s">
        <v>1019</v>
      </c>
      <c r="F39" s="96" t="s">
        <v>855</v>
      </c>
    </row>
    <row r="41" spans="1:23" ht="16.5" customHeight="1" x14ac:dyDescent="0.45">
      <c r="B41" s="478" t="s">
        <v>359</v>
      </c>
      <c r="C41" s="105"/>
      <c r="D41" s="105"/>
      <c r="E41" s="105"/>
      <c r="F41" s="105"/>
    </row>
    <row r="42" spans="1:23" x14ac:dyDescent="0.35">
      <c r="B42" t="s">
        <v>1018</v>
      </c>
    </row>
    <row r="44" spans="1:23" ht="15" thickBot="1" x14ac:dyDescent="0.4">
      <c r="B44" s="475" t="s">
        <v>905</v>
      </c>
      <c r="C44" s="473"/>
      <c r="D44" s="473"/>
      <c r="E44" s="473"/>
      <c r="F44" s="474"/>
    </row>
    <row r="45" spans="1:23" ht="15" thickBot="1" x14ac:dyDescent="0.4">
      <c r="B45" s="405" t="s">
        <v>1014</v>
      </c>
      <c r="C45" s="406" t="s">
        <v>1013</v>
      </c>
      <c r="D45" s="133"/>
      <c r="E45" s="133"/>
    </row>
    <row r="46" spans="1:23" ht="15" thickBot="1" x14ac:dyDescent="0.4">
      <c r="B46" s="405" t="s">
        <v>1017</v>
      </c>
      <c r="C46" s="405" t="s">
        <v>1016</v>
      </c>
      <c r="D46" s="21"/>
      <c r="E46" s="21"/>
    </row>
    <row r="47" spans="1:23" ht="15" thickBot="1" x14ac:dyDescent="0.4">
      <c r="B47" s="405" t="s">
        <v>1015</v>
      </c>
      <c r="C47" s="413" t="s">
        <v>1009</v>
      </c>
      <c r="D47" s="21"/>
      <c r="E47" s="21"/>
    </row>
    <row r="49" spans="1:21" ht="15" thickBot="1" x14ac:dyDescent="0.4">
      <c r="B49" s="477" t="s">
        <v>904</v>
      </c>
      <c r="C49" s="476"/>
      <c r="D49" s="476"/>
      <c r="E49" s="476"/>
      <c r="F49" s="476"/>
    </row>
    <row r="51" spans="1:21" x14ac:dyDescent="0.35">
      <c r="B51" s="412" t="s">
        <v>1014</v>
      </c>
      <c r="C51" s="280" t="s">
        <v>1013</v>
      </c>
      <c r="D51" s="133"/>
      <c r="E51" s="133"/>
      <c r="F51" s="1"/>
      <c r="U51" s="402" t="s">
        <v>981</v>
      </c>
    </row>
    <row r="52" spans="1:21" x14ac:dyDescent="0.35">
      <c r="B52" s="411" t="s">
        <v>1012</v>
      </c>
      <c r="C52" s="21"/>
      <c r="D52" s="21"/>
      <c r="E52" s="21"/>
      <c r="U52" s="88" t="s">
        <v>1011</v>
      </c>
    </row>
    <row r="53" spans="1:21" x14ac:dyDescent="0.35">
      <c r="B53" s="411" t="s">
        <v>1010</v>
      </c>
      <c r="C53" s="21"/>
      <c r="D53" s="21"/>
      <c r="E53" s="21"/>
      <c r="U53" s="88" t="s">
        <v>1009</v>
      </c>
    </row>
    <row r="54" spans="1:21" x14ac:dyDescent="0.35">
      <c r="B54" s="411" t="s">
        <v>1008</v>
      </c>
      <c r="C54" s="21"/>
      <c r="D54" s="21"/>
      <c r="E54" s="21"/>
      <c r="U54" s="88" t="s">
        <v>1007</v>
      </c>
    </row>
    <row r="55" spans="1:21" x14ac:dyDescent="0.35">
      <c r="B55" s="411" t="s">
        <v>1006</v>
      </c>
      <c r="C55" s="21"/>
      <c r="D55" s="21"/>
      <c r="E55" s="21"/>
      <c r="U55" s="88" t="s">
        <v>1005</v>
      </c>
    </row>
    <row r="56" spans="1:21" x14ac:dyDescent="0.35">
      <c r="B56" s="411" t="s">
        <v>1004</v>
      </c>
      <c r="C56" s="21"/>
      <c r="D56" s="21"/>
      <c r="E56" s="21"/>
      <c r="U56" s="88" t="s">
        <v>1003</v>
      </c>
    </row>
    <row r="57" spans="1:21" x14ac:dyDescent="0.35">
      <c r="B57" s="411" t="s">
        <v>1002</v>
      </c>
      <c r="C57" s="21"/>
      <c r="D57" s="21"/>
      <c r="E57" s="21"/>
      <c r="U57" s="88" t="s">
        <v>1001</v>
      </c>
    </row>
    <row r="58" spans="1:21" x14ac:dyDescent="0.35">
      <c r="B58" s="411" t="s">
        <v>1000</v>
      </c>
      <c r="C58" s="21"/>
      <c r="D58" s="21"/>
      <c r="E58" s="21"/>
      <c r="U58" s="88" t="s">
        <v>999</v>
      </c>
    </row>
    <row r="59" spans="1:21" x14ac:dyDescent="0.35">
      <c r="B59" s="411" t="s">
        <v>998</v>
      </c>
      <c r="C59" s="21"/>
      <c r="D59" s="21"/>
      <c r="E59" s="21"/>
      <c r="U59" s="88" t="s">
        <v>997</v>
      </c>
    </row>
    <row r="60" spans="1:21" x14ac:dyDescent="0.35">
      <c r="B60" s="411" t="s">
        <v>996</v>
      </c>
      <c r="C60" s="21"/>
      <c r="D60" s="21"/>
      <c r="E60" s="21"/>
      <c r="U60" s="88" t="s">
        <v>995</v>
      </c>
    </row>
    <row r="61" spans="1:21" x14ac:dyDescent="0.35">
      <c r="B61" s="411" t="s">
        <v>994</v>
      </c>
      <c r="C61" s="21"/>
      <c r="D61" s="21"/>
      <c r="E61" s="21"/>
      <c r="U61" s="88" t="s">
        <v>993</v>
      </c>
    </row>
    <row r="62" spans="1:21" x14ac:dyDescent="0.35">
      <c r="B62" s="411" t="s">
        <v>992</v>
      </c>
      <c r="C62" s="21"/>
      <c r="D62" s="21"/>
      <c r="E62" s="21"/>
      <c r="U62" s="88" t="s">
        <v>991</v>
      </c>
    </row>
    <row r="64" spans="1:21" s="96" customFormat="1" ht="18.5" x14ac:dyDescent="0.45">
      <c r="A64" s="117" t="s">
        <v>130</v>
      </c>
      <c r="B64" s="96" t="s">
        <v>990</v>
      </c>
      <c r="F64" s="96" t="s">
        <v>855</v>
      </c>
    </row>
    <row r="66" spans="2:21" ht="16.5" customHeight="1" x14ac:dyDescent="0.45">
      <c r="B66" s="478" t="s">
        <v>359</v>
      </c>
      <c r="C66" s="105"/>
      <c r="D66" s="105"/>
      <c r="E66" s="105"/>
      <c r="F66" s="105"/>
    </row>
    <row r="67" spans="2:21" x14ac:dyDescent="0.35">
      <c r="B67" t="s">
        <v>989</v>
      </c>
    </row>
    <row r="69" spans="2:21" ht="15" thickBot="1" x14ac:dyDescent="0.4">
      <c r="B69" s="475" t="s">
        <v>905</v>
      </c>
      <c r="C69" s="473"/>
      <c r="D69" s="473"/>
      <c r="E69" s="473"/>
      <c r="F69" s="474"/>
    </row>
    <row r="70" spans="2:21" ht="29.5" thickBot="1" x14ac:dyDescent="0.4">
      <c r="B70" s="405" t="s">
        <v>984</v>
      </c>
      <c r="C70" s="408" t="s">
        <v>983</v>
      </c>
      <c r="D70" s="406" t="s">
        <v>988</v>
      </c>
      <c r="E70" s="133"/>
    </row>
    <row r="71" spans="2:21" ht="44" thickBot="1" x14ac:dyDescent="0.4">
      <c r="B71" s="410" t="s">
        <v>980</v>
      </c>
      <c r="C71" s="409" t="s">
        <v>979</v>
      </c>
      <c r="D71" s="408" t="s">
        <v>987</v>
      </c>
      <c r="E71" s="21"/>
    </row>
    <row r="72" spans="2:21" ht="29.5" thickBot="1" x14ac:dyDescent="0.4">
      <c r="B72" s="410" t="s">
        <v>986</v>
      </c>
      <c r="C72" s="409" t="s">
        <v>976</v>
      </c>
      <c r="D72" s="408" t="s">
        <v>985</v>
      </c>
      <c r="E72" s="21"/>
    </row>
    <row r="74" spans="2:21" ht="15" thickBot="1" x14ac:dyDescent="0.4">
      <c r="B74" s="477" t="s">
        <v>904</v>
      </c>
      <c r="C74" s="476"/>
      <c r="D74" s="476"/>
      <c r="E74" s="476"/>
      <c r="F74" s="476"/>
    </row>
    <row r="75" spans="2:21" ht="15" thickBot="1" x14ac:dyDescent="0.4"/>
    <row r="76" spans="2:21" ht="29.5" thickBot="1" x14ac:dyDescent="0.4">
      <c r="B76" s="405" t="s">
        <v>984</v>
      </c>
      <c r="C76" s="408" t="s">
        <v>983</v>
      </c>
      <c r="D76" s="407" t="s">
        <v>982</v>
      </c>
      <c r="E76" s="133"/>
      <c r="F76" s="1"/>
      <c r="U76" s="402" t="s">
        <v>981</v>
      </c>
    </row>
    <row r="77" spans="2:21" ht="15" thickBot="1" x14ac:dyDescent="0.4">
      <c r="B77" s="398" t="s">
        <v>980</v>
      </c>
      <c r="C77" s="398" t="s">
        <v>979</v>
      </c>
      <c r="D77" s="398"/>
      <c r="T77" s="88" t="s">
        <v>978</v>
      </c>
    </row>
    <row r="78" spans="2:21" ht="15" thickBot="1" x14ac:dyDescent="0.4">
      <c r="B78" s="398" t="s">
        <v>977</v>
      </c>
      <c r="C78" s="398" t="s">
        <v>976</v>
      </c>
      <c r="D78" s="398"/>
      <c r="T78" s="88" t="s">
        <v>975</v>
      </c>
    </row>
    <row r="79" spans="2:21" ht="15" thickBot="1" x14ac:dyDescent="0.4">
      <c r="B79" s="398" t="s">
        <v>974</v>
      </c>
      <c r="C79" s="398" t="s">
        <v>973</v>
      </c>
      <c r="D79" s="398"/>
      <c r="T79" s="88" t="s">
        <v>972</v>
      </c>
    </row>
    <row r="80" spans="2:21" ht="15" thickBot="1" x14ac:dyDescent="0.4">
      <c r="B80" s="398" t="s">
        <v>971</v>
      </c>
      <c r="C80" s="398" t="s">
        <v>970</v>
      </c>
      <c r="D80" s="398"/>
      <c r="T80" s="88" t="s">
        <v>969</v>
      </c>
    </row>
    <row r="81" spans="1:20" ht="15" thickBot="1" x14ac:dyDescent="0.4">
      <c r="B81" s="398" t="s">
        <v>968</v>
      </c>
      <c r="C81" s="398" t="s">
        <v>967</v>
      </c>
      <c r="D81" s="398"/>
      <c r="T81" s="88" t="s">
        <v>966</v>
      </c>
    </row>
    <row r="82" spans="1:20" ht="15" thickBot="1" x14ac:dyDescent="0.4">
      <c r="B82" s="398" t="s">
        <v>965</v>
      </c>
      <c r="C82" s="398" t="s">
        <v>964</v>
      </c>
      <c r="D82" s="398"/>
      <c r="T82" s="88" t="s">
        <v>963</v>
      </c>
    </row>
    <row r="83" spans="1:20" ht="15" thickBot="1" x14ac:dyDescent="0.4">
      <c r="B83" s="398" t="s">
        <v>962</v>
      </c>
      <c r="C83" s="398" t="s">
        <v>961</v>
      </c>
      <c r="D83" s="398"/>
      <c r="T83" s="88" t="s">
        <v>960</v>
      </c>
    </row>
    <row r="84" spans="1:20" ht="15" thickBot="1" x14ac:dyDescent="0.4">
      <c r="B84" s="398" t="s">
        <v>959</v>
      </c>
      <c r="C84" s="398" t="s">
        <v>958</v>
      </c>
      <c r="D84" s="398"/>
      <c r="T84" s="88" t="s">
        <v>957</v>
      </c>
    </row>
    <row r="85" spans="1:20" ht="15" thickBot="1" x14ac:dyDescent="0.4">
      <c r="B85" s="398" t="s">
        <v>956</v>
      </c>
      <c r="C85" s="398" t="s">
        <v>955</v>
      </c>
      <c r="D85" s="398"/>
      <c r="T85" s="88" t="s">
        <v>954</v>
      </c>
    </row>
    <row r="86" spans="1:20" ht="15" thickBot="1" x14ac:dyDescent="0.4">
      <c r="B86" s="398" t="s">
        <v>953</v>
      </c>
      <c r="C86" s="398" t="s">
        <v>952</v>
      </c>
      <c r="D86" s="398"/>
      <c r="T86" s="88" t="s">
        <v>951</v>
      </c>
    </row>
    <row r="87" spans="1:20" ht="15" thickBot="1" x14ac:dyDescent="0.4">
      <c r="B87" s="398" t="s">
        <v>950</v>
      </c>
      <c r="C87" s="398" t="s">
        <v>949</v>
      </c>
      <c r="D87" s="398"/>
      <c r="T87" s="88" t="s">
        <v>948</v>
      </c>
    </row>
    <row r="89" spans="1:20" s="96" customFormat="1" ht="18.5" x14ac:dyDescent="0.45">
      <c r="A89" s="117" t="s">
        <v>130</v>
      </c>
      <c r="B89" s="96" t="s">
        <v>947</v>
      </c>
      <c r="F89" s="96" t="s">
        <v>855</v>
      </c>
    </row>
    <row r="91" spans="1:20" ht="16.5" customHeight="1" x14ac:dyDescent="0.45">
      <c r="B91" s="478" t="s">
        <v>359</v>
      </c>
      <c r="C91" s="105"/>
      <c r="D91" s="105"/>
      <c r="E91" s="105"/>
      <c r="F91" s="105"/>
    </row>
    <row r="92" spans="1:20" x14ac:dyDescent="0.35">
      <c r="B92" t="s">
        <v>946</v>
      </c>
    </row>
    <row r="94" spans="1:20" ht="15" thickBot="1" x14ac:dyDescent="0.4">
      <c r="B94" s="475" t="s">
        <v>905</v>
      </c>
      <c r="C94" s="473"/>
      <c r="D94" s="473"/>
      <c r="E94" s="473"/>
      <c r="F94" s="474"/>
    </row>
    <row r="95" spans="1:20" ht="29.5" thickBot="1" x14ac:dyDescent="0.4">
      <c r="B95" s="405" t="s">
        <v>945</v>
      </c>
      <c r="C95" s="406" t="s">
        <v>943</v>
      </c>
      <c r="D95" s="406" t="s">
        <v>942</v>
      </c>
      <c r="E95" s="133"/>
    </row>
    <row r="96" spans="1:20" ht="15" thickBot="1" x14ac:dyDescent="0.4">
      <c r="B96" s="398" t="s">
        <v>941</v>
      </c>
      <c r="C96" s="398" t="s">
        <v>940</v>
      </c>
      <c r="D96" s="398" t="s">
        <v>939</v>
      </c>
      <c r="E96" s="21"/>
    </row>
    <row r="97" spans="2:21" ht="15" thickBot="1" x14ac:dyDescent="0.4">
      <c r="B97" s="398" t="s">
        <v>938</v>
      </c>
      <c r="C97" s="398" t="s">
        <v>937</v>
      </c>
      <c r="D97" s="398" t="s">
        <v>936</v>
      </c>
      <c r="E97" s="21"/>
    </row>
    <row r="99" spans="2:21" ht="15" thickBot="1" x14ac:dyDescent="0.4">
      <c r="B99" s="477" t="s">
        <v>904</v>
      </c>
      <c r="C99" s="476"/>
      <c r="D99" s="476"/>
      <c r="E99" s="476"/>
      <c r="F99" s="476"/>
    </row>
    <row r="100" spans="2:21" ht="15" thickBot="1" x14ac:dyDescent="0.4"/>
    <row r="101" spans="2:21" ht="29.5" thickBot="1" x14ac:dyDescent="0.4">
      <c r="B101" s="405" t="s">
        <v>944</v>
      </c>
      <c r="C101" s="404" t="s">
        <v>943</v>
      </c>
      <c r="D101" s="404" t="s">
        <v>942</v>
      </c>
      <c r="E101" s="133"/>
      <c r="F101" s="1"/>
      <c r="U101" s="402"/>
    </row>
    <row r="102" spans="2:21" ht="15" thickBot="1" x14ac:dyDescent="0.4">
      <c r="B102" s="398" t="s">
        <v>941</v>
      </c>
      <c r="C102" s="398"/>
      <c r="D102" s="398"/>
      <c r="T102" s="88" t="s">
        <v>940</v>
      </c>
      <c r="U102" s="88" t="s">
        <v>939</v>
      </c>
    </row>
    <row r="103" spans="2:21" ht="15" thickBot="1" x14ac:dyDescent="0.4">
      <c r="B103" s="398" t="s">
        <v>938</v>
      </c>
      <c r="C103" s="398"/>
      <c r="D103" s="398"/>
      <c r="T103" s="88" t="s">
        <v>937</v>
      </c>
      <c r="U103" s="88" t="s">
        <v>936</v>
      </c>
    </row>
    <row r="104" spans="2:21" ht="15" thickBot="1" x14ac:dyDescent="0.4">
      <c r="B104" s="398" t="s">
        <v>935</v>
      </c>
      <c r="C104" s="398"/>
      <c r="D104" s="398"/>
      <c r="T104" s="88" t="s">
        <v>934</v>
      </c>
      <c r="U104" s="88" t="s">
        <v>933</v>
      </c>
    </row>
    <row r="105" spans="2:21" ht="15" thickBot="1" x14ac:dyDescent="0.4">
      <c r="B105" s="398" t="s">
        <v>932</v>
      </c>
      <c r="C105" s="398"/>
      <c r="D105" s="398"/>
      <c r="T105" s="88" t="s">
        <v>931</v>
      </c>
      <c r="U105" s="88" t="s">
        <v>930</v>
      </c>
    </row>
    <row r="106" spans="2:21" ht="15" thickBot="1" x14ac:dyDescent="0.4">
      <c r="B106" s="398" t="s">
        <v>929</v>
      </c>
      <c r="C106" s="398"/>
      <c r="D106" s="398"/>
      <c r="T106" s="88" t="s">
        <v>928</v>
      </c>
      <c r="U106" s="88" t="s">
        <v>916</v>
      </c>
    </row>
    <row r="107" spans="2:21" ht="15" thickBot="1" x14ac:dyDescent="0.4">
      <c r="B107" s="398" t="s">
        <v>927</v>
      </c>
      <c r="C107" s="398"/>
      <c r="D107" s="398"/>
      <c r="T107" s="88" t="s">
        <v>926</v>
      </c>
      <c r="U107" s="88" t="s">
        <v>925</v>
      </c>
    </row>
    <row r="108" spans="2:21" ht="15" thickBot="1" x14ac:dyDescent="0.4">
      <c r="B108" s="398" t="s">
        <v>924</v>
      </c>
      <c r="C108" s="398"/>
      <c r="D108" s="398"/>
      <c r="T108" s="88" t="s">
        <v>923</v>
      </c>
      <c r="U108" s="88" t="s">
        <v>922</v>
      </c>
    </row>
    <row r="109" spans="2:21" ht="15" thickBot="1" x14ac:dyDescent="0.4">
      <c r="B109" s="398" t="s">
        <v>921</v>
      </c>
      <c r="C109" s="398"/>
      <c r="D109" s="398"/>
      <c r="T109" s="88" t="s">
        <v>920</v>
      </c>
      <c r="U109" s="88" t="s">
        <v>919</v>
      </c>
    </row>
    <row r="110" spans="2:21" ht="15" thickBot="1" x14ac:dyDescent="0.4">
      <c r="B110" s="398" t="s">
        <v>918</v>
      </c>
      <c r="C110" s="398"/>
      <c r="D110" s="398"/>
      <c r="T110" s="88" t="s">
        <v>917</v>
      </c>
      <c r="U110" s="88" t="s">
        <v>916</v>
      </c>
    </row>
    <row r="111" spans="2:21" ht="15" thickBot="1" x14ac:dyDescent="0.4">
      <c r="B111" s="398" t="s">
        <v>915</v>
      </c>
      <c r="C111" s="398"/>
      <c r="D111" s="398"/>
      <c r="T111" s="88" t="s">
        <v>914</v>
      </c>
      <c r="U111" s="88" t="s">
        <v>913</v>
      </c>
    </row>
    <row r="112" spans="2:21" ht="15" thickBot="1" x14ac:dyDescent="0.4">
      <c r="B112" s="398" t="s">
        <v>912</v>
      </c>
      <c r="C112" s="398"/>
      <c r="D112" s="398"/>
      <c r="T112" s="88" t="s">
        <v>911</v>
      </c>
      <c r="U112" s="88" t="s">
        <v>910</v>
      </c>
    </row>
    <row r="114" spans="1:21" s="96" customFormat="1" ht="18.5" x14ac:dyDescent="0.45">
      <c r="A114" s="117" t="s">
        <v>130</v>
      </c>
      <c r="B114" s="96" t="s">
        <v>909</v>
      </c>
      <c r="F114" s="96" t="s">
        <v>855</v>
      </c>
    </row>
    <row r="116" spans="1:21" ht="16.5" customHeight="1" x14ac:dyDescent="0.45">
      <c r="B116" s="478" t="s">
        <v>359</v>
      </c>
      <c r="C116" s="105"/>
      <c r="D116" s="105"/>
      <c r="E116" s="105"/>
      <c r="F116" s="105"/>
    </row>
    <row r="117" spans="1:21" x14ac:dyDescent="0.35">
      <c r="B117" t="s">
        <v>908</v>
      </c>
    </row>
    <row r="118" spans="1:21" x14ac:dyDescent="0.35">
      <c r="B118" t="s">
        <v>907</v>
      </c>
    </row>
    <row r="119" spans="1:21" x14ac:dyDescent="0.35">
      <c r="B119" t="s">
        <v>906</v>
      </c>
    </row>
    <row r="121" spans="1:21" ht="15" thickBot="1" x14ac:dyDescent="0.4">
      <c r="B121" s="475" t="s">
        <v>905</v>
      </c>
      <c r="C121" s="473"/>
      <c r="D121" s="473"/>
      <c r="E121" s="473"/>
      <c r="F121" s="474"/>
    </row>
    <row r="122" spans="1:21" ht="29.5" thickBot="1" x14ac:dyDescent="0.4">
      <c r="B122" s="405" t="s">
        <v>696</v>
      </c>
      <c r="C122" s="405" t="s">
        <v>903</v>
      </c>
      <c r="D122" s="406" t="s">
        <v>902</v>
      </c>
      <c r="E122" s="403" t="s">
        <v>901</v>
      </c>
    </row>
    <row r="123" spans="1:21" ht="40" thickBot="1" x14ac:dyDescent="0.4">
      <c r="B123" s="400">
        <v>2071</v>
      </c>
      <c r="C123" s="399" t="s">
        <v>900</v>
      </c>
      <c r="D123" s="398" t="s">
        <v>899</v>
      </c>
      <c r="E123" s="398" t="str">
        <f>TEXT(B123,"mmmm")</f>
        <v>September</v>
      </c>
    </row>
    <row r="124" spans="1:21" ht="27" thickBot="1" x14ac:dyDescent="0.4">
      <c r="B124" s="400">
        <v>6368</v>
      </c>
      <c r="C124" s="399" t="s">
        <v>898</v>
      </c>
      <c r="D124" s="398" t="s">
        <v>897</v>
      </c>
      <c r="E124" s="398" t="str">
        <f>TEXT(B124,"mmmm")</f>
        <v>June</v>
      </c>
    </row>
    <row r="126" spans="1:21" ht="15" thickBot="1" x14ac:dyDescent="0.4">
      <c r="B126" s="477" t="s">
        <v>904</v>
      </c>
      <c r="C126" s="476"/>
      <c r="D126" s="476"/>
      <c r="E126" s="476"/>
      <c r="F126" s="476"/>
    </row>
    <row r="127" spans="1:21" ht="15" thickBot="1" x14ac:dyDescent="0.4"/>
    <row r="128" spans="1:21" ht="29.5" thickBot="1" x14ac:dyDescent="0.4">
      <c r="B128" s="405" t="s">
        <v>696</v>
      </c>
      <c r="C128" s="405" t="s">
        <v>903</v>
      </c>
      <c r="D128" s="404" t="s">
        <v>902</v>
      </c>
      <c r="E128" s="403" t="s">
        <v>901</v>
      </c>
      <c r="F128" s="1"/>
      <c r="U128" s="402"/>
    </row>
    <row r="129" spans="1:21" ht="40" thickBot="1" x14ac:dyDescent="0.4">
      <c r="B129" s="400">
        <v>2071</v>
      </c>
      <c r="C129" s="399" t="s">
        <v>900</v>
      </c>
      <c r="D129" s="398"/>
      <c r="E129" s="398" t="str">
        <f t="shared" ref="E129:E137" si="0">TEXT(B129,"mmmm")</f>
        <v>September</v>
      </c>
      <c r="T129" s="397" t="s">
        <v>899</v>
      </c>
      <c r="U129" s="88"/>
    </row>
    <row r="130" spans="1:21" ht="27" thickBot="1" x14ac:dyDescent="0.4">
      <c r="B130" s="400">
        <v>6368</v>
      </c>
      <c r="C130" s="399" t="s">
        <v>898</v>
      </c>
      <c r="D130" s="398"/>
      <c r="E130" s="398" t="str">
        <f t="shared" si="0"/>
        <v>June</v>
      </c>
      <c r="T130" s="397" t="s">
        <v>897</v>
      </c>
      <c r="U130" s="88"/>
    </row>
    <row r="131" spans="1:21" ht="27" thickBot="1" x14ac:dyDescent="0.4">
      <c r="B131" s="400">
        <v>6719</v>
      </c>
      <c r="C131" s="399" t="s">
        <v>896</v>
      </c>
      <c r="D131" s="398"/>
      <c r="E131" s="398" t="str">
        <f t="shared" si="0"/>
        <v>May</v>
      </c>
      <c r="T131" s="397" t="s">
        <v>895</v>
      </c>
      <c r="U131" s="88"/>
    </row>
    <row r="132" spans="1:21" ht="15" thickBot="1" x14ac:dyDescent="0.4">
      <c r="B132" s="400">
        <v>10895</v>
      </c>
      <c r="C132" s="399" t="s">
        <v>894</v>
      </c>
      <c r="D132" s="398"/>
      <c r="E132" s="398" t="str">
        <f t="shared" si="0"/>
        <v>October</v>
      </c>
      <c r="T132" s="397" t="s">
        <v>889</v>
      </c>
      <c r="U132" s="88"/>
    </row>
    <row r="133" spans="1:21" ht="27" thickBot="1" x14ac:dyDescent="0.4">
      <c r="B133" s="400">
        <v>11668</v>
      </c>
      <c r="C133" s="399" t="s">
        <v>893</v>
      </c>
      <c r="D133" s="398"/>
      <c r="E133" s="398" t="str">
        <f t="shared" si="0"/>
        <v>December</v>
      </c>
      <c r="T133" s="397" t="s">
        <v>892</v>
      </c>
      <c r="U133" s="88"/>
    </row>
    <row r="134" spans="1:21" ht="27" thickBot="1" x14ac:dyDescent="0.4">
      <c r="B134" s="400">
        <v>17989</v>
      </c>
      <c r="C134" s="401" t="s">
        <v>891</v>
      </c>
      <c r="D134" s="398"/>
      <c r="E134" s="398" t="str">
        <f t="shared" si="0"/>
        <v>April</v>
      </c>
      <c r="T134" s="397" t="s">
        <v>885</v>
      </c>
      <c r="U134" s="88"/>
    </row>
    <row r="135" spans="1:21" ht="27" thickBot="1" x14ac:dyDescent="0.4">
      <c r="B135" s="400">
        <v>30959</v>
      </c>
      <c r="C135" s="399" t="s">
        <v>890</v>
      </c>
      <c r="D135" s="398"/>
      <c r="E135" s="398" t="str">
        <f t="shared" si="0"/>
        <v>October</v>
      </c>
      <c r="T135" s="397" t="s">
        <v>889</v>
      </c>
      <c r="U135" s="88"/>
    </row>
    <row r="136" spans="1:21" ht="27" thickBot="1" x14ac:dyDescent="0.4">
      <c r="B136" s="400">
        <v>34057</v>
      </c>
      <c r="C136" s="399" t="s">
        <v>888</v>
      </c>
      <c r="D136" s="398"/>
      <c r="E136" s="398" t="str">
        <f t="shared" si="0"/>
        <v>March</v>
      </c>
      <c r="T136" s="397" t="s">
        <v>887</v>
      </c>
      <c r="U136" s="88"/>
    </row>
    <row r="137" spans="1:21" ht="15" thickBot="1" x14ac:dyDescent="0.4">
      <c r="B137" s="400">
        <v>36251</v>
      </c>
      <c r="C137" s="399" t="s">
        <v>886</v>
      </c>
      <c r="D137" s="398"/>
      <c r="E137" s="398" t="str">
        <f t="shared" si="0"/>
        <v>April</v>
      </c>
      <c r="T137" s="397" t="s">
        <v>885</v>
      </c>
      <c r="U137" s="88"/>
    </row>
    <row r="139" spans="1:21" s="502" customFormat="1" ht="18.5" x14ac:dyDescent="0.45">
      <c r="A139" s="501" t="s">
        <v>130</v>
      </c>
      <c r="B139" s="502" t="s">
        <v>1331</v>
      </c>
      <c r="F139" s="502" t="s">
        <v>855</v>
      </c>
    </row>
    <row r="141" spans="1:21" ht="16.5" customHeight="1" x14ac:dyDescent="0.45">
      <c r="B141" s="478" t="s">
        <v>359</v>
      </c>
      <c r="C141" s="105"/>
      <c r="D141" s="105"/>
      <c r="E141" s="105"/>
      <c r="F141" s="105"/>
    </row>
    <row r="142" spans="1:21" x14ac:dyDescent="0.35">
      <c r="B142" t="s">
        <v>1332</v>
      </c>
    </row>
    <row r="144" spans="1:21" x14ac:dyDescent="0.35">
      <c r="B144" s="503" t="s">
        <v>1333</v>
      </c>
      <c r="C144" s="504" t="s">
        <v>1334</v>
      </c>
      <c r="D144" s="505" t="s">
        <v>1335</v>
      </c>
      <c r="E144" s="506" t="s">
        <v>1336</v>
      </c>
    </row>
    <row r="145" spans="2:4" x14ac:dyDescent="0.35">
      <c r="B145" s="10" t="s">
        <v>1337</v>
      </c>
      <c r="D145" s="22"/>
    </row>
    <row r="146" spans="2:4" x14ac:dyDescent="0.35">
      <c r="B146" s="10" t="s">
        <v>1338</v>
      </c>
      <c r="D146" s="22"/>
    </row>
    <row r="147" spans="2:4" x14ac:dyDescent="0.35">
      <c r="B147" s="10" t="s">
        <v>1339</v>
      </c>
      <c r="D147" s="22"/>
    </row>
    <row r="148" spans="2:4" x14ac:dyDescent="0.35">
      <c r="B148" s="10" t="s">
        <v>1340</v>
      </c>
      <c r="D148" s="22"/>
    </row>
    <row r="149" spans="2:4" x14ac:dyDescent="0.35">
      <c r="B149" s="10" t="s">
        <v>1341</v>
      </c>
      <c r="D149" s="22"/>
    </row>
    <row r="150" spans="2:4" x14ac:dyDescent="0.35">
      <c r="B150" s="10" t="s">
        <v>1342</v>
      </c>
      <c r="D150" s="22"/>
    </row>
    <row r="151" spans="2:4" x14ac:dyDescent="0.35">
      <c r="B151" s="10" t="s">
        <v>1343</v>
      </c>
      <c r="D151" s="22"/>
    </row>
    <row r="152" spans="2:4" x14ac:dyDescent="0.35">
      <c r="B152" s="10" t="s">
        <v>1344</v>
      </c>
      <c r="D152" s="22"/>
    </row>
    <row r="153" spans="2:4" x14ac:dyDescent="0.35">
      <c r="B153" s="10" t="s">
        <v>1345</v>
      </c>
      <c r="D153" s="22"/>
    </row>
    <row r="154" spans="2:4" x14ac:dyDescent="0.35">
      <c r="B154" s="10" t="s">
        <v>1346</v>
      </c>
      <c r="D154" s="22"/>
    </row>
    <row r="155" spans="2:4" x14ac:dyDescent="0.35">
      <c r="B155" s="10" t="s">
        <v>1347</v>
      </c>
      <c r="D155" s="22"/>
    </row>
    <row r="156" spans="2:4" x14ac:dyDescent="0.35">
      <c r="B156" s="10" t="s">
        <v>1348</v>
      </c>
      <c r="D156" s="22"/>
    </row>
    <row r="157" spans="2:4" x14ac:dyDescent="0.35">
      <c r="B157" s="10" t="s">
        <v>1349</v>
      </c>
      <c r="D157" s="22"/>
    </row>
    <row r="158" spans="2:4" x14ac:dyDescent="0.35">
      <c r="B158" s="10" t="s">
        <v>1350</v>
      </c>
      <c r="D158" s="22"/>
    </row>
    <row r="159" spans="2:4" x14ac:dyDescent="0.35">
      <c r="B159" s="10" t="s">
        <v>1351</v>
      </c>
      <c r="D159" s="22"/>
    </row>
    <row r="160" spans="2:4" x14ac:dyDescent="0.35">
      <c r="B160" s="10" t="s">
        <v>1352</v>
      </c>
      <c r="D160" s="22"/>
    </row>
    <row r="161" spans="2:4" x14ac:dyDescent="0.35">
      <c r="B161" s="10" t="s">
        <v>1353</v>
      </c>
      <c r="D161" s="22"/>
    </row>
    <row r="162" spans="2:4" x14ac:dyDescent="0.35">
      <c r="B162" s="10" t="s">
        <v>1354</v>
      </c>
      <c r="D162" s="22"/>
    </row>
    <row r="163" spans="2:4" x14ac:dyDescent="0.35">
      <c r="B163" s="10" t="s">
        <v>1355</v>
      </c>
      <c r="D163" s="22"/>
    </row>
    <row r="164" spans="2:4" x14ac:dyDescent="0.35">
      <c r="B164" s="10" t="s">
        <v>1356</v>
      </c>
      <c r="D164" s="22"/>
    </row>
    <row r="165" spans="2:4" x14ac:dyDescent="0.35">
      <c r="B165" s="10" t="s">
        <v>1357</v>
      </c>
      <c r="D165" s="22"/>
    </row>
    <row r="166" spans="2:4" x14ac:dyDescent="0.35">
      <c r="B166" s="10" t="s">
        <v>1358</v>
      </c>
      <c r="D166" s="22"/>
    </row>
    <row r="167" spans="2:4" x14ac:dyDescent="0.35">
      <c r="B167" s="10" t="s">
        <v>1359</v>
      </c>
      <c r="D167" s="22"/>
    </row>
    <row r="168" spans="2:4" x14ac:dyDescent="0.35">
      <c r="B168" s="10" t="s">
        <v>1360</v>
      </c>
      <c r="D168" s="22"/>
    </row>
    <row r="169" spans="2:4" x14ac:dyDescent="0.35">
      <c r="B169" s="10" t="s">
        <v>1361</v>
      </c>
      <c r="D169" s="22"/>
    </row>
    <row r="170" spans="2:4" x14ac:dyDescent="0.35">
      <c r="B170" s="10" t="s">
        <v>1362</v>
      </c>
      <c r="D170" s="22"/>
    </row>
    <row r="171" spans="2:4" x14ac:dyDescent="0.35">
      <c r="B171" s="10" t="s">
        <v>1363</v>
      </c>
      <c r="D171" s="22"/>
    </row>
    <row r="172" spans="2:4" x14ac:dyDescent="0.35">
      <c r="B172" s="10" t="s">
        <v>1364</v>
      </c>
      <c r="D172" s="22"/>
    </row>
    <row r="173" spans="2:4" x14ac:dyDescent="0.35">
      <c r="B173" s="10" t="s">
        <v>1365</v>
      </c>
      <c r="D173" s="22"/>
    </row>
    <row r="174" spans="2:4" x14ac:dyDescent="0.35">
      <c r="B174" s="10" t="s">
        <v>1366</v>
      </c>
      <c r="D174" s="22"/>
    </row>
    <row r="175" spans="2:4" x14ac:dyDescent="0.35">
      <c r="B175" s="10" t="s">
        <v>1367</v>
      </c>
      <c r="D175" s="22"/>
    </row>
    <row r="176" spans="2:4" x14ac:dyDescent="0.35">
      <c r="B176" s="10" t="s">
        <v>1368</v>
      </c>
      <c r="D176" s="22"/>
    </row>
    <row r="177" spans="1:6" x14ac:dyDescent="0.35">
      <c r="B177" s="10" t="s">
        <v>1369</v>
      </c>
      <c r="D177" s="22"/>
    </row>
    <row r="178" spans="1:6" x14ac:dyDescent="0.35">
      <c r="B178" s="10" t="s">
        <v>1370</v>
      </c>
      <c r="D178" s="22"/>
    </row>
    <row r="179" spans="1:6" x14ac:dyDescent="0.35">
      <c r="B179" s="10" t="s">
        <v>1371</v>
      </c>
      <c r="D179" s="22"/>
    </row>
    <row r="180" spans="1:6" x14ac:dyDescent="0.35">
      <c r="B180" s="10" t="s">
        <v>1372</v>
      </c>
      <c r="D180" s="22"/>
    </row>
    <row r="181" spans="1:6" x14ac:dyDescent="0.35">
      <c r="B181" s="10" t="s">
        <v>1373</v>
      </c>
      <c r="D181" s="22"/>
    </row>
    <row r="182" spans="1:6" x14ac:dyDescent="0.35">
      <c r="B182" s="10" t="s">
        <v>1374</v>
      </c>
      <c r="D182" s="22"/>
    </row>
    <row r="183" spans="1:6" x14ac:dyDescent="0.35">
      <c r="B183" s="10" t="s">
        <v>1375</v>
      </c>
      <c r="D183" s="22"/>
    </row>
    <row r="184" spans="1:6" x14ac:dyDescent="0.35">
      <c r="B184" s="10" t="s">
        <v>1376</v>
      </c>
      <c r="D184" s="22"/>
    </row>
    <row r="185" spans="1:6" x14ac:dyDescent="0.35">
      <c r="B185" s="10" t="s">
        <v>1377</v>
      </c>
      <c r="D185" s="22"/>
    </row>
    <row r="186" spans="1:6" x14ac:dyDescent="0.35">
      <c r="B186" s="10" t="s">
        <v>1378</v>
      </c>
      <c r="D186" s="22"/>
    </row>
    <row r="187" spans="1:6" x14ac:dyDescent="0.35">
      <c r="B187" s="10" t="s">
        <v>1379</v>
      </c>
      <c r="D187" s="22"/>
    </row>
    <row r="188" spans="1:6" x14ac:dyDescent="0.35">
      <c r="B188" s="10" t="s">
        <v>1380</v>
      </c>
      <c r="D188" s="22"/>
    </row>
    <row r="189" spans="1:6" x14ac:dyDescent="0.35">
      <c r="B189" s="10" t="s">
        <v>1381</v>
      </c>
      <c r="D189" s="22"/>
    </row>
    <row r="190" spans="1:6" x14ac:dyDescent="0.35">
      <c r="B190" s="10" t="s">
        <v>1382</v>
      </c>
      <c r="D190" s="22"/>
    </row>
    <row r="192" spans="1:6" s="502" customFormat="1" ht="18.5" x14ac:dyDescent="0.45">
      <c r="A192" s="501" t="s">
        <v>130</v>
      </c>
      <c r="B192" s="502" t="s">
        <v>1383</v>
      </c>
      <c r="F192" s="502" t="s">
        <v>855</v>
      </c>
    </row>
    <row r="194" spans="2:6" ht="16.5" customHeight="1" x14ac:dyDescent="0.45">
      <c r="B194" s="478" t="s">
        <v>359</v>
      </c>
      <c r="C194" s="105"/>
      <c r="D194" s="105"/>
      <c r="E194" s="105"/>
      <c r="F194" s="105"/>
    </row>
    <row r="195" spans="2:6" x14ac:dyDescent="0.35">
      <c r="B195" t="s">
        <v>1332</v>
      </c>
    </row>
    <row r="197" spans="2:6" ht="29" x14ac:dyDescent="0.35">
      <c r="B197" s="507" t="s">
        <v>1384</v>
      </c>
      <c r="C197" s="506" t="s">
        <v>1385</v>
      </c>
      <c r="D197" s="508" t="s">
        <v>1386</v>
      </c>
      <c r="E197" s="509" t="s">
        <v>1387</v>
      </c>
      <c r="F197" s="509" t="s">
        <v>1388</v>
      </c>
    </row>
    <row r="198" spans="2:6" x14ac:dyDescent="0.35">
      <c r="B198" s="353" t="s">
        <v>1389</v>
      </c>
      <c r="C198" s="23" t="s">
        <v>1390</v>
      </c>
      <c r="D198">
        <v>10</v>
      </c>
    </row>
    <row r="199" spans="2:6" x14ac:dyDescent="0.35">
      <c r="B199" s="353" t="s">
        <v>1391</v>
      </c>
      <c r="C199" s="23" t="s">
        <v>1392</v>
      </c>
      <c r="D199">
        <v>10</v>
      </c>
    </row>
    <row r="200" spans="2:6" x14ac:dyDescent="0.35">
      <c r="B200" s="353" t="s">
        <v>1393</v>
      </c>
      <c r="C200" s="23" t="s">
        <v>1394</v>
      </c>
      <c r="D200">
        <v>9</v>
      </c>
    </row>
    <row r="201" spans="2:6" x14ac:dyDescent="0.35">
      <c r="B201" s="353" t="s">
        <v>1395</v>
      </c>
      <c r="C201" s="23" t="s">
        <v>1396</v>
      </c>
      <c r="D201">
        <v>9</v>
      </c>
    </row>
    <row r="202" spans="2:6" ht="29" x14ac:dyDescent="0.35">
      <c r="B202" s="353" t="s">
        <v>1397</v>
      </c>
      <c r="C202" s="23" t="s">
        <v>1398</v>
      </c>
      <c r="D202">
        <v>9</v>
      </c>
    </row>
    <row r="203" spans="2:6" x14ac:dyDescent="0.35">
      <c r="B203" s="353" t="s">
        <v>1399</v>
      </c>
      <c r="C203" s="23" t="s">
        <v>1400</v>
      </c>
      <c r="D203">
        <v>10</v>
      </c>
    </row>
    <row r="204" spans="2:6" ht="43.5" x14ac:dyDescent="0.35">
      <c r="B204" s="353" t="s">
        <v>1401</v>
      </c>
      <c r="C204" s="23" t="s">
        <v>1402</v>
      </c>
      <c r="D204">
        <v>5</v>
      </c>
    </row>
  </sheetData>
  <conditionalFormatting sqref="C52:C62">
    <cfRule type="containsBlanks" dxfId="72" priority="9">
      <formula>LEN(TRIM(C52))=0</formula>
    </cfRule>
    <cfRule type="expression" dxfId="71" priority="10">
      <formula>AND(C52&lt;&gt;"",C52&lt;&gt;U52)</formula>
    </cfRule>
    <cfRule type="expression" dxfId="70" priority="11">
      <formula>C52=U52</formula>
    </cfRule>
  </conditionalFormatting>
  <conditionalFormatting sqref="C102:D112">
    <cfRule type="expression" dxfId="69" priority="4">
      <formula>AND(C102&lt;&gt;"",C102&lt;&gt;T102)</formula>
    </cfRule>
    <cfRule type="expression" dxfId="68" priority="5">
      <formula>C102=T102</formula>
    </cfRule>
    <cfRule type="containsBlanks" dxfId="67" priority="6">
      <formula>LEN(TRIM(C102))=0</formula>
    </cfRule>
  </conditionalFormatting>
  <conditionalFormatting sqref="C27:E37">
    <cfRule type="expression" dxfId="66" priority="12">
      <formula>AND(C27&lt;&gt;"",C27&lt;&gt;U27)</formula>
    </cfRule>
    <cfRule type="expression" dxfId="65" priority="13">
      <formula>C27=U27</formula>
    </cfRule>
    <cfRule type="containsBlanks" dxfId="64" priority="14">
      <formula>LEN(TRIM(C27))=0</formula>
    </cfRule>
  </conditionalFormatting>
  <conditionalFormatting sqref="D77:D87">
    <cfRule type="expression" dxfId="63" priority="7">
      <formula>AND(D77&lt;&gt;"",D77&lt;&gt;T77)</formula>
    </cfRule>
    <cfRule type="expression" dxfId="62" priority="8">
      <formula>D77=T77</formula>
    </cfRule>
    <cfRule type="containsBlanks" dxfId="61" priority="15">
      <formula>LEN(TRIM(D77))=0</formula>
    </cfRule>
  </conditionalFormatting>
  <conditionalFormatting sqref="D129:D137">
    <cfRule type="expression" dxfId="60" priority="1">
      <formula>AND(D129&lt;&gt;T129,D129&lt;&gt;"")</formula>
    </cfRule>
    <cfRule type="expression" dxfId="59" priority="2">
      <formula>D129=T129</formula>
    </cfRule>
    <cfRule type="containsBlanks" dxfId="58" priority="3">
      <formula>LEN(TRIM(D129))=0</formula>
    </cfRule>
  </conditionalFormatting>
  <hyperlinks>
    <hyperlink ref="C1" location="Menu!A1" display="         Main Menu         " xr:uid="{CB0D7730-27EE-49E1-993D-323747713BB0}"/>
    <hyperlink ref="D1" location="'A3 Instructions'!A1" display="      Exercises      " xr:uid="{CC89A806-5800-4A44-BA80-DAC4A44E4C92}"/>
    <hyperlink ref="F15" location="TopExercise" display="           Top           " xr:uid="{663AD59C-72B6-4BBB-B0FB-1E6FF3148D7B}"/>
    <hyperlink ref="F39" location="TopExercise" display="           Top           " xr:uid="{69D24C40-B440-4EA0-87B4-A7DAECF373CB}"/>
    <hyperlink ref="F64" location="TopExercise" display="           Top           " xr:uid="{8E6A0525-646E-4245-B290-D6378078D6E8}"/>
    <hyperlink ref="F89" location="TopExercise" display="           Top           " xr:uid="{A5EED044-5B41-4582-8F49-1584C91BE7ED}"/>
    <hyperlink ref="F114" location="TopExercise" display="           Top           " xr:uid="{36C9BE5E-7768-41B8-BCE2-FA70EF9D67CD}"/>
    <hyperlink ref="B7" location="Exer1" display="Exercise 1: Random Famous People" xr:uid="{E3C9AAE5-A9C9-4009-8A7C-CCA970E678EF}"/>
    <hyperlink ref="B8" location="Exer2" display="What needs to be in place for Flash Fill to work" xr:uid="{84CDE74A-BA1E-4627-A845-2D5D68C92432}"/>
    <hyperlink ref="B9" location="Exer3" display="Wait, what is Flash Fill? What's the point?" xr:uid="{2C2ABD5A-4D01-4E8B-9CA6-C972C1E0ADEE}"/>
    <hyperlink ref="B10" location="Exer4" display="Exercise 4: " xr:uid="{5574DED3-702D-47A4-9B40-EA062954FDCB}"/>
    <hyperlink ref="B11" location="Exer5" display="Exercise 5:" xr:uid="{7E687AED-49B4-4B47-8067-8BF0622A785B}"/>
    <hyperlink ref="F139" location="TopExercise" display="           Top           " xr:uid="{3E3305BD-7088-4889-A16D-D85C1366B850}"/>
    <hyperlink ref="F192" location="TopExercise" display="           Top           " xr:uid="{10F5DE2D-A857-4867-A85C-BFB992F5BEB0}"/>
    <hyperlink ref="B12" location="DemoCode" display="Demo: Fun with codes" xr:uid="{336CC32C-95A0-4D23-A84C-75AD5CADFB49}"/>
    <hyperlink ref="B13" location="DemoPeople" display="Demo: People and comments" xr:uid="{54AF93C0-64FF-4434-A06A-01C3435DD17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E636-E84D-46A1-9BF6-8A743D8E7E70}">
  <sheetPr codeName="Feuil25">
    <tabColor rgb="FFFFFF00"/>
  </sheetPr>
  <dimension ref="A1:E79"/>
  <sheetViews>
    <sheetView topLeftCell="A65" workbookViewId="0"/>
  </sheetViews>
  <sheetFormatPr defaultColWidth="11.453125" defaultRowHeight="14.5" x14ac:dyDescent="0.35"/>
  <cols>
    <col min="1" max="1" width="6.54296875" customWidth="1"/>
    <col min="2" max="2" width="23.453125" style="2" customWidth="1"/>
    <col min="3" max="4" width="23.453125" customWidth="1"/>
    <col min="5" max="5" width="35.54296875" customWidth="1"/>
    <col min="6" max="6" width="11.453125" customWidth="1"/>
  </cols>
  <sheetData>
    <row r="1" spans="1:5" s="50" customFormat="1" ht="18.5" x14ac:dyDescent="0.35">
      <c r="A1" s="87" t="s">
        <v>130</v>
      </c>
      <c r="B1" s="80" t="s">
        <v>243</v>
      </c>
      <c r="C1" s="113" t="s">
        <v>244</v>
      </c>
      <c r="D1" s="113" t="s">
        <v>245</v>
      </c>
    </row>
    <row r="2" spans="1:5" s="50" customFormat="1" ht="15" customHeight="1" thickBot="1" x14ac:dyDescent="0.4">
      <c r="B2" s="83"/>
    </row>
    <row r="3" spans="1:5" s="50" customFormat="1" ht="18.75" customHeight="1" x14ac:dyDescent="0.45">
      <c r="B3" s="114"/>
      <c r="C3" s="77" t="s">
        <v>1239</v>
      </c>
      <c r="D3" s="57"/>
    </row>
    <row r="4" spans="1:5" s="50" customFormat="1" ht="18.5" x14ac:dyDescent="0.45">
      <c r="B4" s="116"/>
      <c r="C4" s="49"/>
      <c r="D4" s="60"/>
    </row>
    <row r="5" spans="1:5" s="50" customFormat="1" ht="15.5" x14ac:dyDescent="0.35">
      <c r="B5" s="116"/>
      <c r="C5" s="85" t="s">
        <v>234</v>
      </c>
      <c r="D5" s="60"/>
    </row>
    <row r="6" spans="1:5" s="50" customFormat="1" x14ac:dyDescent="0.35">
      <c r="B6" s="116"/>
      <c r="C6" s="78" t="s">
        <v>429</v>
      </c>
      <c r="D6" s="60"/>
    </row>
    <row r="7" spans="1:5" s="50" customFormat="1" x14ac:dyDescent="0.35">
      <c r="B7" s="116"/>
      <c r="C7" s="78" t="s">
        <v>413</v>
      </c>
      <c r="D7" s="60"/>
    </row>
    <row r="8" spans="1:5" s="50" customFormat="1" ht="18.5" x14ac:dyDescent="0.45">
      <c r="B8" s="116"/>
      <c r="C8" s="49"/>
      <c r="D8" s="60"/>
      <c r="E8" s="78"/>
    </row>
    <row r="9" spans="1:5" s="50" customFormat="1" ht="15.5" x14ac:dyDescent="0.35">
      <c r="B9" s="116"/>
      <c r="C9" s="85" t="s">
        <v>372</v>
      </c>
      <c r="D9" s="60"/>
    </row>
    <row r="10" spans="1:5" s="50" customFormat="1" x14ac:dyDescent="0.35">
      <c r="B10" s="115"/>
      <c r="C10" s="78" t="s">
        <v>432</v>
      </c>
      <c r="D10" s="60"/>
    </row>
    <row r="11" spans="1:5" s="50" customFormat="1" x14ac:dyDescent="0.35">
      <c r="B11" s="115"/>
      <c r="C11" s="78"/>
      <c r="D11" s="60"/>
    </row>
    <row r="12" spans="1:5" s="50" customFormat="1" ht="15.5" x14ac:dyDescent="0.35">
      <c r="B12" s="115"/>
      <c r="C12" s="85" t="s">
        <v>237</v>
      </c>
      <c r="D12" s="60"/>
    </row>
    <row r="13" spans="1:5" s="50" customFormat="1" x14ac:dyDescent="0.35">
      <c r="B13" s="115"/>
      <c r="C13" s="78" t="s">
        <v>414</v>
      </c>
      <c r="D13" s="60"/>
    </row>
    <row r="14" spans="1:5" s="50" customFormat="1" x14ac:dyDescent="0.35">
      <c r="B14" s="115"/>
      <c r="C14" s="78" t="s">
        <v>416</v>
      </c>
      <c r="D14" s="60"/>
    </row>
    <row r="15" spans="1:5" s="50" customFormat="1" x14ac:dyDescent="0.35">
      <c r="B15" s="115"/>
      <c r="C15" s="78" t="s">
        <v>415</v>
      </c>
      <c r="D15" s="60"/>
    </row>
    <row r="16" spans="1:5" s="50" customFormat="1" ht="15" thickBot="1" x14ac:dyDescent="0.4">
      <c r="B16" s="86"/>
      <c r="C16" s="63"/>
      <c r="D16" s="65"/>
    </row>
    <row r="17" spans="1:4" s="50" customFormat="1" x14ac:dyDescent="0.35">
      <c r="B17" s="83"/>
    </row>
    <row r="18" spans="1:4" s="101" customFormat="1" ht="18.5" x14ac:dyDescent="0.45">
      <c r="A18" s="98" t="s">
        <v>130</v>
      </c>
      <c r="B18" s="99" t="s">
        <v>238</v>
      </c>
      <c r="C18" s="100"/>
    </row>
    <row r="19" spans="1:4" s="50" customFormat="1" x14ac:dyDescent="0.35">
      <c r="A19" s="87"/>
      <c r="B19" s="50" t="s">
        <v>170</v>
      </c>
    </row>
    <row r="20" spans="1:4" s="50" customFormat="1" x14ac:dyDescent="0.35">
      <c r="B20" s="54"/>
      <c r="C20" s="54"/>
      <c r="D20" s="54"/>
    </row>
    <row r="21" spans="1:4" s="97" customFormat="1" ht="18.5" x14ac:dyDescent="0.45">
      <c r="A21" s="93" t="s">
        <v>130</v>
      </c>
      <c r="B21" s="95" t="s">
        <v>420</v>
      </c>
      <c r="C21" s="96"/>
      <c r="D21" s="95" t="s">
        <v>421</v>
      </c>
    </row>
    <row r="22" spans="1:4" s="50" customFormat="1" x14ac:dyDescent="0.35">
      <c r="B22" s="54"/>
      <c r="C22" s="54"/>
      <c r="D22" s="54"/>
    </row>
    <row r="23" spans="1:4" s="94" customFormat="1" ht="18.5" x14ac:dyDescent="0.35">
      <c r="A23" s="93" t="s">
        <v>130</v>
      </c>
      <c r="B23" s="94" t="s">
        <v>419</v>
      </c>
    </row>
    <row r="24" spans="1:4" x14ac:dyDescent="0.35">
      <c r="B24" s="133"/>
      <c r="C24" s="133"/>
    </row>
    <row r="25" spans="1:4" x14ac:dyDescent="0.35">
      <c r="B25" s="123" t="s">
        <v>417</v>
      </c>
      <c r="C25" s="124" t="s">
        <v>418</v>
      </c>
      <c r="D25" t="s">
        <v>428</v>
      </c>
    </row>
    <row r="26" spans="1:4" x14ac:dyDescent="0.35">
      <c r="B26" s="125">
        <v>1</v>
      </c>
      <c r="C26" s="126" t="s">
        <v>27</v>
      </c>
      <c r="D26" t="s">
        <v>422</v>
      </c>
    </row>
    <row r="27" spans="1:4" x14ac:dyDescent="0.35">
      <c r="B27" s="125">
        <v>1</v>
      </c>
      <c r="C27" s="126" t="s">
        <v>27</v>
      </c>
    </row>
    <row r="28" spans="1:4" x14ac:dyDescent="0.35">
      <c r="B28" s="125">
        <v>4</v>
      </c>
      <c r="C28" s="126" t="s">
        <v>28</v>
      </c>
    </row>
    <row r="29" spans="1:4" x14ac:dyDescent="0.35">
      <c r="B29" s="125">
        <v>2</v>
      </c>
      <c r="C29" s="126" t="s">
        <v>27</v>
      </c>
    </row>
    <row r="30" spans="1:4" x14ac:dyDescent="0.35">
      <c r="B30" s="125">
        <v>1</v>
      </c>
      <c r="C30" s="126" t="s">
        <v>171</v>
      </c>
    </row>
    <row r="31" spans="1:4" x14ac:dyDescent="0.35">
      <c r="B31" s="127">
        <v>5</v>
      </c>
      <c r="C31" s="128" t="s">
        <v>28</v>
      </c>
    </row>
    <row r="32" spans="1:4" x14ac:dyDescent="0.35">
      <c r="B32" s="10"/>
      <c r="D32" s="135" t="s">
        <v>423</v>
      </c>
    </row>
    <row r="33" spans="1:4" ht="29" x14ac:dyDescent="0.35">
      <c r="B33" s="134" t="s">
        <v>837</v>
      </c>
      <c r="D33" s="135" t="s">
        <v>424</v>
      </c>
    </row>
    <row r="34" spans="1:4" x14ac:dyDescent="0.35">
      <c r="B34" s="10"/>
      <c r="D34" s="135" t="s">
        <v>444</v>
      </c>
    </row>
    <row r="35" spans="1:4" x14ac:dyDescent="0.35">
      <c r="B35" s="10"/>
    </row>
    <row r="36" spans="1:4" s="94" customFormat="1" ht="18.5" x14ac:dyDescent="0.35">
      <c r="A36" s="93" t="s">
        <v>130</v>
      </c>
      <c r="B36" s="94" t="s">
        <v>427</v>
      </c>
    </row>
    <row r="37" spans="1:4" x14ac:dyDescent="0.35">
      <c r="B37" s="10"/>
    </row>
    <row r="38" spans="1:4" x14ac:dyDescent="0.35">
      <c r="B38" s="123" t="s">
        <v>417</v>
      </c>
      <c r="C38" s="124" t="s">
        <v>418</v>
      </c>
      <c r="D38" t="s">
        <v>445</v>
      </c>
    </row>
    <row r="39" spans="1:4" x14ac:dyDescent="0.35">
      <c r="B39" s="125">
        <v>1</v>
      </c>
      <c r="C39" s="126" t="s">
        <v>27</v>
      </c>
      <c r="D39" t="s">
        <v>446</v>
      </c>
    </row>
    <row r="40" spans="1:4" x14ac:dyDescent="0.35">
      <c r="B40" s="125">
        <v>1</v>
      </c>
      <c r="C40" s="126" t="s">
        <v>27</v>
      </c>
      <c r="D40" t="s">
        <v>422</v>
      </c>
    </row>
    <row r="41" spans="1:4" x14ac:dyDescent="0.35">
      <c r="B41" s="125">
        <v>4</v>
      </c>
      <c r="C41" s="126" t="s">
        <v>28</v>
      </c>
      <c r="D41" t="s">
        <v>447</v>
      </c>
    </row>
    <row r="42" spans="1:4" x14ac:dyDescent="0.35">
      <c r="B42" s="125">
        <v>2</v>
      </c>
      <c r="C42" s="126" t="s">
        <v>27</v>
      </c>
      <c r="D42" t="s">
        <v>448</v>
      </c>
    </row>
    <row r="43" spans="1:4" x14ac:dyDescent="0.35">
      <c r="B43" s="125">
        <v>1</v>
      </c>
      <c r="C43" s="126" t="s">
        <v>171</v>
      </c>
      <c r="D43" t="s">
        <v>449</v>
      </c>
    </row>
    <row r="44" spans="1:4" x14ac:dyDescent="0.35">
      <c r="B44" s="127">
        <v>5</v>
      </c>
      <c r="C44" s="128" t="s">
        <v>28</v>
      </c>
      <c r="D44" t="s">
        <v>450</v>
      </c>
    </row>
    <row r="45" spans="1:4" x14ac:dyDescent="0.35">
      <c r="D45" s="135" t="s">
        <v>451</v>
      </c>
    </row>
    <row r="46" spans="1:4" ht="29" x14ac:dyDescent="0.35">
      <c r="B46" s="134" t="s">
        <v>837</v>
      </c>
    </row>
    <row r="48" spans="1:4" s="101" customFormat="1" ht="18.5" x14ac:dyDescent="0.45">
      <c r="A48" s="98" t="s">
        <v>130</v>
      </c>
      <c r="B48" s="99" t="s">
        <v>256</v>
      </c>
      <c r="C48" s="100"/>
    </row>
    <row r="49" spans="1:3" s="50" customFormat="1" x14ac:dyDescent="0.35">
      <c r="B49" s="83"/>
    </row>
    <row r="50" spans="1:3" s="94" customFormat="1" ht="18.5" x14ac:dyDescent="0.35">
      <c r="A50" s="93" t="s">
        <v>130</v>
      </c>
      <c r="B50" s="94" t="s">
        <v>430</v>
      </c>
    </row>
    <row r="52" spans="1:3" x14ac:dyDescent="0.35">
      <c r="B52" s="123" t="s">
        <v>417</v>
      </c>
      <c r="C52" s="124" t="s">
        <v>418</v>
      </c>
    </row>
    <row r="53" spans="1:3" x14ac:dyDescent="0.35">
      <c r="B53" s="125">
        <v>1</v>
      </c>
      <c r="C53" s="126" t="s">
        <v>27</v>
      </c>
    </row>
    <row r="54" spans="1:3" x14ac:dyDescent="0.35">
      <c r="B54" s="125">
        <v>1</v>
      </c>
      <c r="C54" s="126" t="s">
        <v>27</v>
      </c>
    </row>
    <row r="55" spans="1:3" x14ac:dyDescent="0.35">
      <c r="B55" s="125">
        <v>4</v>
      </c>
      <c r="C55" s="126" t="s">
        <v>28</v>
      </c>
    </row>
    <row r="56" spans="1:3" x14ac:dyDescent="0.35">
      <c r="B56" s="125">
        <v>2</v>
      </c>
      <c r="C56" s="126" t="s">
        <v>27</v>
      </c>
    </row>
    <row r="57" spans="1:3" x14ac:dyDescent="0.35">
      <c r="B57" s="125">
        <v>1</v>
      </c>
      <c r="C57" s="126" t="s">
        <v>171</v>
      </c>
    </row>
    <row r="58" spans="1:3" x14ac:dyDescent="0.35">
      <c r="B58" s="127">
        <v>5</v>
      </c>
      <c r="C58" s="128" t="s">
        <v>28</v>
      </c>
    </row>
    <row r="60" spans="1:3" x14ac:dyDescent="0.35">
      <c r="A60" s="103"/>
      <c r="B60" s="2" t="s">
        <v>431</v>
      </c>
    </row>
    <row r="61" spans="1:3" x14ac:dyDescent="0.35">
      <c r="B61" s="2" t="s">
        <v>433</v>
      </c>
    </row>
    <row r="62" spans="1:3" x14ac:dyDescent="0.35">
      <c r="B62" s="2" t="s">
        <v>434</v>
      </c>
    </row>
    <row r="63" spans="1:3" x14ac:dyDescent="0.35">
      <c r="B63" s="2" t="s">
        <v>435</v>
      </c>
    </row>
    <row r="65" spans="1:3" s="101" customFormat="1" ht="18.5" x14ac:dyDescent="0.45">
      <c r="A65" s="98" t="s">
        <v>130</v>
      </c>
      <c r="B65" s="99" t="s">
        <v>439</v>
      </c>
      <c r="C65" s="100"/>
    </row>
    <row r="67" spans="1:3" x14ac:dyDescent="0.35">
      <c r="B67" s="123" t="s">
        <v>417</v>
      </c>
      <c r="C67" s="124" t="s">
        <v>418</v>
      </c>
    </row>
    <row r="68" spans="1:3" x14ac:dyDescent="0.35">
      <c r="B68" s="125">
        <v>1</v>
      </c>
      <c r="C68" s="126" t="s">
        <v>27</v>
      </c>
    </row>
    <row r="69" spans="1:3" x14ac:dyDescent="0.35">
      <c r="B69" s="125">
        <v>1</v>
      </c>
      <c r="C69" s="126" t="s">
        <v>27</v>
      </c>
    </row>
    <row r="70" spans="1:3" x14ac:dyDescent="0.35">
      <c r="B70" s="125">
        <v>4</v>
      </c>
      <c r="C70" s="126" t="s">
        <v>28</v>
      </c>
    </row>
    <row r="71" spans="1:3" x14ac:dyDescent="0.35">
      <c r="B71" s="125">
        <v>2</v>
      </c>
      <c r="C71" s="126" t="s">
        <v>27</v>
      </c>
    </row>
    <row r="72" spans="1:3" x14ac:dyDescent="0.35">
      <c r="B72" s="125">
        <v>1</v>
      </c>
      <c r="C72" s="126" t="s">
        <v>171</v>
      </c>
    </row>
    <row r="73" spans="1:3" x14ac:dyDescent="0.35">
      <c r="B73" s="127">
        <v>5</v>
      </c>
      <c r="C73" s="128" t="s">
        <v>28</v>
      </c>
    </row>
    <row r="75" spans="1:3" x14ac:dyDescent="0.35">
      <c r="A75" s="103"/>
      <c r="B75" s="2" t="s">
        <v>436</v>
      </c>
    </row>
    <row r="76" spans="1:3" x14ac:dyDescent="0.35">
      <c r="B76" s="2" t="s">
        <v>437</v>
      </c>
    </row>
    <row r="77" spans="1:3" x14ac:dyDescent="0.35">
      <c r="B77" s="2" t="s">
        <v>438</v>
      </c>
    </row>
    <row r="79" spans="1:3" ht="29" x14ac:dyDescent="0.35">
      <c r="B79" s="134" t="s">
        <v>838</v>
      </c>
      <c r="C79" s="134" t="s">
        <v>839</v>
      </c>
    </row>
  </sheetData>
  <conditionalFormatting sqref="B53:C58">
    <cfRule type="duplicateValues" dxfId="57" priority="1"/>
  </conditionalFormatting>
  <hyperlinks>
    <hyperlink ref="B1" location="Menu!A1" display="Main Menu" xr:uid="{717495E5-11D5-4077-9825-173F3A7E1947}"/>
    <hyperlink ref="C1" location="'A4 Exercise'!A1" display="              Exercise              " xr:uid="{BE4BE226-1E92-47FB-A679-FEEE7F366986}"/>
    <hyperlink ref="D1" location="'2021 CSD'!A1" display="       Data worksheet       " xr:uid="{F3E44D3C-9EBC-4DFA-8366-06BF91821326}"/>
    <hyperlink ref="B79" location="TwoCol" display="First Example                       (2 columns)" xr:uid="{4A881AF7-F090-4022-981C-3D33B4846323}"/>
    <hyperlink ref="B33" location="ResetEx" display="ResetEx" xr:uid="{0394CE44-540B-4AC3-8726-897E1F9729D5}"/>
    <hyperlink ref="C79" location="OneCol" display="Second example                 (1 column)" xr:uid="{8C2DD016-F84B-404D-A010-9121E8661FB0}"/>
    <hyperlink ref="B46" location="ResetEx" display="ResetEx" xr:uid="{EE766E15-FEBA-4FED-BE8C-962DB622C815}"/>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rgb="FF002060"/>
  </sheetPr>
  <dimension ref="A1:H31"/>
  <sheetViews>
    <sheetView workbookViewId="0">
      <selection activeCell="B1" sqref="B1"/>
    </sheetView>
  </sheetViews>
  <sheetFormatPr defaultColWidth="11.453125" defaultRowHeight="14.5" x14ac:dyDescent="0.35"/>
  <cols>
    <col min="1" max="1" width="5.6328125" customWidth="1"/>
    <col min="2" max="4" width="23.453125" customWidth="1"/>
    <col min="5" max="5" width="16.36328125" customWidth="1"/>
    <col min="6" max="6" width="3.453125" customWidth="1"/>
  </cols>
  <sheetData>
    <row r="1" spans="1:8" ht="18.5" x14ac:dyDescent="0.35">
      <c r="A1" s="87" t="s">
        <v>130</v>
      </c>
      <c r="B1" s="80" t="s">
        <v>243</v>
      </c>
      <c r="C1" s="80" t="s">
        <v>359</v>
      </c>
      <c r="D1" s="80" t="s">
        <v>245</v>
      </c>
      <c r="E1" s="138"/>
      <c r="G1" s="112"/>
      <c r="H1" s="112"/>
    </row>
    <row r="2" spans="1:8" x14ac:dyDescent="0.35">
      <c r="A2" s="50"/>
      <c r="B2" s="50"/>
      <c r="C2" s="50"/>
      <c r="D2" s="50"/>
      <c r="E2" s="139"/>
    </row>
    <row r="3" spans="1:8" s="136" customFormat="1" ht="18.5" x14ac:dyDescent="0.45">
      <c r="A3" s="104" t="s">
        <v>130</v>
      </c>
      <c r="B3" s="105" t="s">
        <v>440</v>
      </c>
      <c r="C3" s="106"/>
      <c r="D3" s="107"/>
      <c r="E3" s="140"/>
    </row>
    <row r="4" spans="1:8" x14ac:dyDescent="0.35">
      <c r="A4" s="50"/>
      <c r="B4" s="50" t="s">
        <v>441</v>
      </c>
      <c r="C4" s="50"/>
      <c r="D4" s="50"/>
      <c r="E4" s="139"/>
    </row>
    <row r="5" spans="1:8" x14ac:dyDescent="0.35">
      <c r="A5" s="50"/>
      <c r="B5" s="50" t="s">
        <v>452</v>
      </c>
      <c r="C5" s="50"/>
      <c r="D5" s="50"/>
      <c r="E5" s="139"/>
    </row>
    <row r="6" spans="1:8" x14ac:dyDescent="0.35">
      <c r="A6" s="50"/>
      <c r="B6" s="50" t="s">
        <v>442</v>
      </c>
      <c r="C6" s="50"/>
      <c r="D6" s="50"/>
      <c r="E6" s="139"/>
    </row>
    <row r="7" spans="1:8" x14ac:dyDescent="0.35">
      <c r="A7" s="50"/>
      <c r="B7" s="50" t="s">
        <v>443</v>
      </c>
      <c r="C7" s="50"/>
      <c r="D7" s="50"/>
      <c r="E7" s="139"/>
    </row>
    <row r="8" spans="1:8" s="137" customFormat="1" ht="18.5" x14ac:dyDescent="0.45">
      <c r="A8" s="117" t="s">
        <v>130</v>
      </c>
      <c r="B8" s="96"/>
      <c r="C8" s="96"/>
      <c r="D8" s="96"/>
      <c r="E8" s="141"/>
      <c r="G8"/>
    </row>
    <row r="9" spans="1:8" x14ac:dyDescent="0.35">
      <c r="B9" s="2"/>
    </row>
    <row r="10" spans="1:8" x14ac:dyDescent="0.35">
      <c r="B10" s="2"/>
    </row>
    <row r="11" spans="1:8" x14ac:dyDescent="0.35">
      <c r="B11" s="2"/>
    </row>
    <row r="12" spans="1:8" x14ac:dyDescent="0.35">
      <c r="B12" s="2"/>
    </row>
    <row r="13" spans="1:8" x14ac:dyDescent="0.35">
      <c r="B13" s="2"/>
    </row>
    <row r="14" spans="1:8" x14ac:dyDescent="0.35">
      <c r="B14" s="2"/>
    </row>
    <row r="15" spans="1:8" x14ac:dyDescent="0.35">
      <c r="B15" s="2"/>
    </row>
    <row r="16" spans="1:8" x14ac:dyDescent="0.35">
      <c r="B16" s="2"/>
    </row>
    <row r="17" spans="2:2" x14ac:dyDescent="0.35">
      <c r="B17" s="2"/>
    </row>
    <row r="18" spans="2:2" x14ac:dyDescent="0.35">
      <c r="B18" s="2"/>
    </row>
    <row r="19" spans="2:2" x14ac:dyDescent="0.35">
      <c r="B19" s="2"/>
    </row>
    <row r="20" spans="2:2" x14ac:dyDescent="0.35">
      <c r="B20" s="2"/>
    </row>
    <row r="21" spans="2:2" x14ac:dyDescent="0.35">
      <c r="B21" s="2"/>
    </row>
    <row r="22" spans="2:2" x14ac:dyDescent="0.35">
      <c r="B22" s="2"/>
    </row>
    <row r="23" spans="2:2" x14ac:dyDescent="0.35">
      <c r="B23" s="2"/>
    </row>
    <row r="24" spans="2:2" x14ac:dyDescent="0.35">
      <c r="B24" s="2"/>
    </row>
    <row r="25" spans="2:2" x14ac:dyDescent="0.35">
      <c r="B25" s="2"/>
    </row>
    <row r="26" spans="2:2" x14ac:dyDescent="0.35">
      <c r="B26" s="2"/>
    </row>
    <row r="27" spans="2:2" x14ac:dyDescent="0.35">
      <c r="B27" s="2"/>
    </row>
    <row r="28" spans="2:2" x14ac:dyDescent="0.35">
      <c r="B28" s="2"/>
    </row>
    <row r="29" spans="2:2" x14ac:dyDescent="0.35">
      <c r="B29" s="2"/>
    </row>
    <row r="30" spans="2:2" x14ac:dyDescent="0.35">
      <c r="B30" s="2"/>
    </row>
    <row r="31" spans="2:2" x14ac:dyDescent="0.35">
      <c r="B31" s="2"/>
    </row>
  </sheetData>
  <hyperlinks>
    <hyperlink ref="B1" location="Menu!A1" display="Main Menu" xr:uid="{EE08E484-A1BC-419B-8EBA-B774043F1E9E}"/>
    <hyperlink ref="C1" location="'A4 Instructions'!A1" display="Instructions" xr:uid="{B57EB2D7-F588-42DD-8F25-F5D18EE7354F}"/>
    <hyperlink ref="D1" location="'2021 CSD'!A1" display="       Data worksheet       " xr:uid="{206DA354-8BAD-4911-BB0E-6B9D5FFC962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tabColor rgb="FFFFFF00"/>
  </sheetPr>
  <dimension ref="A1:E39"/>
  <sheetViews>
    <sheetView workbookViewId="0">
      <selection activeCell="B1" sqref="B1"/>
    </sheetView>
  </sheetViews>
  <sheetFormatPr defaultColWidth="11.453125" defaultRowHeight="14.5" x14ac:dyDescent="0.35"/>
  <cols>
    <col min="1" max="1" width="6.54296875" customWidth="1"/>
    <col min="2" max="4" width="23.453125" style="2" customWidth="1"/>
    <col min="5" max="5" width="23.453125" customWidth="1"/>
  </cols>
  <sheetData>
    <row r="1" spans="1:4" s="50" customFormat="1" ht="18.5" x14ac:dyDescent="0.35">
      <c r="A1" s="87" t="s">
        <v>130</v>
      </c>
      <c r="B1" s="80" t="s">
        <v>243</v>
      </c>
      <c r="C1" s="80" t="s">
        <v>244</v>
      </c>
    </row>
    <row r="2" spans="1:4" s="50" customFormat="1" ht="15" thickBot="1" x14ac:dyDescent="0.4">
      <c r="B2" s="83"/>
    </row>
    <row r="3" spans="1:4" s="50" customFormat="1" ht="18.5" x14ac:dyDescent="0.45">
      <c r="B3" s="114"/>
      <c r="C3" s="77" t="s">
        <v>1241</v>
      </c>
      <c r="D3" s="57"/>
    </row>
    <row r="4" spans="1:4" s="50" customFormat="1" x14ac:dyDescent="0.35">
      <c r="B4" s="116"/>
      <c r="C4" s="54"/>
      <c r="D4" s="60"/>
    </row>
    <row r="5" spans="1:4" s="50" customFormat="1" ht="15.5" x14ac:dyDescent="0.35">
      <c r="B5" s="116"/>
      <c r="C5" s="85" t="s">
        <v>234</v>
      </c>
      <c r="D5" s="60"/>
    </row>
    <row r="6" spans="1:4" s="50" customFormat="1" x14ac:dyDescent="0.35">
      <c r="B6" s="116"/>
      <c r="C6" s="78" t="s">
        <v>732</v>
      </c>
      <c r="D6" s="60"/>
    </row>
    <row r="7" spans="1:4" s="50" customFormat="1" x14ac:dyDescent="0.35">
      <c r="B7" s="115"/>
      <c r="C7" s="78" t="s">
        <v>733</v>
      </c>
      <c r="D7" s="60"/>
    </row>
    <row r="8" spans="1:4" s="50" customFormat="1" x14ac:dyDescent="0.35">
      <c r="B8" s="115"/>
      <c r="C8" s="78" t="s">
        <v>734</v>
      </c>
      <c r="D8" s="60"/>
    </row>
    <row r="9" spans="1:4" s="50" customFormat="1" x14ac:dyDescent="0.35">
      <c r="B9" s="115"/>
      <c r="C9" s="78"/>
      <c r="D9" s="60"/>
    </row>
    <row r="10" spans="1:4" s="50" customFormat="1" x14ac:dyDescent="0.35">
      <c r="B10" s="115"/>
      <c r="C10" s="54" t="s">
        <v>372</v>
      </c>
      <c r="D10" s="60"/>
    </row>
    <row r="11" spans="1:4" s="50" customFormat="1" x14ac:dyDescent="0.35">
      <c r="B11" s="115"/>
      <c r="C11" s="78" t="s">
        <v>735</v>
      </c>
      <c r="D11" s="60"/>
    </row>
    <row r="12" spans="1:4" s="50" customFormat="1" x14ac:dyDescent="0.35">
      <c r="B12" s="115"/>
      <c r="C12" s="78" t="s">
        <v>736</v>
      </c>
      <c r="D12" s="60"/>
    </row>
    <row r="13" spans="1:4" s="50" customFormat="1" x14ac:dyDescent="0.35">
      <c r="B13" s="115"/>
      <c r="C13" s="78"/>
      <c r="D13" s="60"/>
    </row>
    <row r="14" spans="1:4" s="50" customFormat="1" x14ac:dyDescent="0.35">
      <c r="B14" s="115"/>
      <c r="C14" s="54" t="s">
        <v>373</v>
      </c>
      <c r="D14" s="60"/>
    </row>
    <row r="15" spans="1:4" s="50" customFormat="1" x14ac:dyDescent="0.35">
      <c r="B15" s="115"/>
      <c r="C15" s="78" t="s">
        <v>737</v>
      </c>
      <c r="D15" s="60"/>
    </row>
    <row r="16" spans="1:4" s="50" customFormat="1" ht="15" thickBot="1" x14ac:dyDescent="0.4">
      <c r="B16" s="86"/>
      <c r="C16" s="79"/>
      <c r="D16" s="65"/>
    </row>
    <row r="17" spans="1:3" s="50" customFormat="1" x14ac:dyDescent="0.35">
      <c r="B17" s="83"/>
    </row>
    <row r="18" spans="1:3" s="101" customFormat="1" ht="18.5" x14ac:dyDescent="0.45">
      <c r="A18" s="98" t="s">
        <v>130</v>
      </c>
      <c r="B18" s="99" t="s">
        <v>238</v>
      </c>
      <c r="C18" s="100"/>
    </row>
    <row r="19" spans="1:3" s="50" customFormat="1" x14ac:dyDescent="0.35">
      <c r="A19" s="87"/>
      <c r="B19" s="50" t="s">
        <v>743</v>
      </c>
    </row>
    <row r="20" spans="1:3" s="50" customFormat="1" x14ac:dyDescent="0.35">
      <c r="A20" s="87"/>
      <c r="B20" s="50" t="s">
        <v>739</v>
      </c>
    </row>
    <row r="21" spans="1:3" s="50" customFormat="1" x14ac:dyDescent="0.35">
      <c r="A21" s="87"/>
      <c r="B21" s="50" t="s">
        <v>740</v>
      </c>
    </row>
    <row r="22" spans="1:3" s="50" customFormat="1" x14ac:dyDescent="0.35">
      <c r="A22" s="87"/>
    </row>
    <row r="23" spans="1:3" s="50" customFormat="1" x14ac:dyDescent="0.35">
      <c r="A23" s="87"/>
      <c r="B23" s="50" t="s">
        <v>742</v>
      </c>
    </row>
    <row r="24" spans="1:3" s="50" customFormat="1" x14ac:dyDescent="0.35">
      <c r="A24" s="87"/>
      <c r="B24" s="50" t="s">
        <v>744</v>
      </c>
    </row>
    <row r="25" spans="1:3" s="50" customFormat="1" x14ac:dyDescent="0.35">
      <c r="A25" s="87"/>
    </row>
    <row r="26" spans="1:3" s="50" customFormat="1" x14ac:dyDescent="0.35">
      <c r="A26" s="87"/>
      <c r="B26" s="50" t="s">
        <v>745</v>
      </c>
    </row>
    <row r="27" spans="1:3" s="50" customFormat="1" x14ac:dyDescent="0.35">
      <c r="A27" s="87"/>
      <c r="B27" s="50" t="s">
        <v>746</v>
      </c>
    </row>
    <row r="28" spans="1:3" s="50" customFormat="1" x14ac:dyDescent="0.35">
      <c r="A28" s="87"/>
      <c r="B28" s="50" t="s">
        <v>747</v>
      </c>
    </row>
    <row r="29" spans="1:3" s="50" customFormat="1" x14ac:dyDescent="0.35">
      <c r="A29" s="87"/>
      <c r="B29" s="50" t="s">
        <v>748</v>
      </c>
    </row>
    <row r="30" spans="1:3" s="50" customFormat="1" x14ac:dyDescent="0.35">
      <c r="A30" s="87"/>
    </row>
    <row r="31" spans="1:3" s="50" customFormat="1" x14ac:dyDescent="0.35">
      <c r="A31" s="87"/>
      <c r="B31" s="50" t="s">
        <v>749</v>
      </c>
    </row>
    <row r="32" spans="1:3" s="50" customFormat="1" x14ac:dyDescent="0.35">
      <c r="A32" s="87"/>
      <c r="B32" s="50" t="s">
        <v>750</v>
      </c>
    </row>
    <row r="33" spans="1:5" s="50" customFormat="1" x14ac:dyDescent="0.35">
      <c r="A33" s="87"/>
    </row>
    <row r="34" spans="1:5" s="50" customFormat="1" x14ac:dyDescent="0.35">
      <c r="A34" s="87"/>
      <c r="B34" s="50" t="s">
        <v>751</v>
      </c>
    </row>
    <row r="35" spans="1:5" s="50" customFormat="1" x14ac:dyDescent="0.35">
      <c r="A35" s="87"/>
      <c r="B35" s="50" t="s">
        <v>752</v>
      </c>
    </row>
    <row r="36" spans="1:5" s="50" customFormat="1" x14ac:dyDescent="0.35">
      <c r="A36" s="87"/>
    </row>
    <row r="37" spans="1:5" s="50" customFormat="1" x14ac:dyDescent="0.35">
      <c r="A37" s="87"/>
      <c r="B37" s="50" t="s">
        <v>741</v>
      </c>
    </row>
    <row r="38" spans="1:5" s="50" customFormat="1" x14ac:dyDescent="0.35">
      <c r="A38" s="87"/>
    </row>
    <row r="39" spans="1:5" s="97" customFormat="1" ht="18.5" x14ac:dyDescent="0.45">
      <c r="A39" s="93" t="s">
        <v>130</v>
      </c>
      <c r="B39" s="95" t="s">
        <v>738</v>
      </c>
      <c r="C39" s="95"/>
      <c r="D39" s="96"/>
      <c r="E39" s="95"/>
    </row>
  </sheetData>
  <hyperlinks>
    <hyperlink ref="B1" location="Menu!A1" display="Main Menu" xr:uid="{D75325EC-09CF-40FC-9DB3-A66765B57C81}"/>
    <hyperlink ref="C1" location="'A5 Exercise'!A1" display="              Exercise              " xr:uid="{0C33FBE9-8CDB-4155-99FC-636A071A9595}"/>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tabColor rgb="FF002060"/>
  </sheetPr>
  <dimension ref="A1:J33"/>
  <sheetViews>
    <sheetView workbookViewId="0"/>
  </sheetViews>
  <sheetFormatPr defaultColWidth="11.453125" defaultRowHeight="14.5" x14ac:dyDescent="0.35"/>
  <cols>
    <col min="1" max="1" width="5.6328125" customWidth="1"/>
    <col min="2" max="4" width="23.453125" customWidth="1"/>
    <col min="5" max="5" width="3" customWidth="1"/>
    <col min="6" max="9" width="23.453125" customWidth="1"/>
  </cols>
  <sheetData>
    <row r="1" spans="1:7" s="50" customFormat="1" ht="18.5" x14ac:dyDescent="0.35">
      <c r="A1" s="87" t="s">
        <v>130</v>
      </c>
      <c r="B1" s="80" t="s">
        <v>243</v>
      </c>
      <c r="C1" s="80" t="s">
        <v>359</v>
      </c>
      <c r="D1" s="50" t="s">
        <v>582</v>
      </c>
      <c r="E1" s="50" t="s">
        <v>581</v>
      </c>
    </row>
    <row r="2" spans="1:7" s="50" customFormat="1" x14ac:dyDescent="0.35">
      <c r="E2" s="83"/>
    </row>
    <row r="3" spans="1:7" s="107" customFormat="1" ht="18.5" x14ac:dyDescent="0.45">
      <c r="A3" s="104" t="s">
        <v>130</v>
      </c>
      <c r="B3" s="105" t="s">
        <v>753</v>
      </c>
      <c r="C3" s="106"/>
    </row>
    <row r="4" spans="1:7" s="50" customFormat="1" x14ac:dyDescent="0.35">
      <c r="B4" s="50" t="s">
        <v>761</v>
      </c>
      <c r="E4" s="83"/>
    </row>
    <row r="5" spans="1:7" s="50" customFormat="1" x14ac:dyDescent="0.35">
      <c r="B5" s="50" t="s">
        <v>762</v>
      </c>
      <c r="E5" s="83"/>
    </row>
    <row r="6" spans="1:7" s="50" customFormat="1" x14ac:dyDescent="0.35">
      <c r="B6" s="50" t="s">
        <v>763</v>
      </c>
      <c r="E6" s="83"/>
    </row>
    <row r="7" spans="1:7" s="50" customFormat="1" x14ac:dyDescent="0.35">
      <c r="E7" s="83"/>
    </row>
    <row r="8" spans="1:7" s="96" customFormat="1" ht="18.5" x14ac:dyDescent="0.45">
      <c r="A8" s="327" t="s">
        <v>130</v>
      </c>
      <c r="B8" s="96" t="s">
        <v>754</v>
      </c>
    </row>
    <row r="9" spans="1:7" x14ac:dyDescent="0.35">
      <c r="A9" s="19"/>
      <c r="B9" s="328" t="s">
        <v>132</v>
      </c>
      <c r="C9" s="328" t="s">
        <v>179</v>
      </c>
      <c r="D9" s="328" t="s">
        <v>133</v>
      </c>
      <c r="G9" s="17"/>
    </row>
    <row r="10" spans="1:7" x14ac:dyDescent="0.35">
      <c r="A10" s="19"/>
      <c r="B10" s="328" t="s">
        <v>760</v>
      </c>
      <c r="C10" s="328" t="s">
        <v>134</v>
      </c>
      <c r="D10" s="328" t="s">
        <v>135</v>
      </c>
    </row>
    <row r="11" spans="1:7" x14ac:dyDescent="0.35">
      <c r="A11" s="19"/>
      <c r="B11" s="328" t="s">
        <v>136</v>
      </c>
      <c r="C11" s="328" t="s">
        <v>137</v>
      </c>
      <c r="D11" s="328" t="s">
        <v>756</v>
      </c>
    </row>
    <row r="12" spans="1:7" x14ac:dyDescent="0.35">
      <c r="A12" s="19"/>
      <c r="B12" s="328" t="s">
        <v>757</v>
      </c>
      <c r="C12" s="328" t="s">
        <v>758</v>
      </c>
      <c r="D12" s="328" t="s">
        <v>138</v>
      </c>
    </row>
    <row r="13" spans="1:7" ht="43.5" x14ac:dyDescent="0.35">
      <c r="A13" s="19"/>
      <c r="B13" s="328" t="s">
        <v>755</v>
      </c>
      <c r="C13" s="328" t="s">
        <v>759</v>
      </c>
      <c r="D13" s="328" t="s">
        <v>139</v>
      </c>
    </row>
    <row r="14" spans="1:7" x14ac:dyDescent="0.35">
      <c r="A14" s="20"/>
    </row>
    <row r="15" spans="1:7" x14ac:dyDescent="0.35">
      <c r="A15" s="19"/>
      <c r="B15" s="19"/>
      <c r="C15" s="19"/>
      <c r="D15" s="19"/>
    </row>
    <row r="16" spans="1:7" x14ac:dyDescent="0.35">
      <c r="A16" s="19"/>
      <c r="B16" s="19"/>
      <c r="C16" s="19"/>
      <c r="D16" s="19"/>
    </row>
    <row r="17" spans="1:10" x14ac:dyDescent="0.35">
      <c r="A17" s="19"/>
      <c r="B17" s="19"/>
      <c r="C17" s="19"/>
      <c r="D17" s="19"/>
    </row>
    <row r="18" spans="1:10" x14ac:dyDescent="0.35">
      <c r="A18" s="19"/>
      <c r="B18" s="19"/>
      <c r="C18" s="19"/>
      <c r="D18" s="19"/>
    </row>
    <row r="19" spans="1:10" x14ac:dyDescent="0.35">
      <c r="A19" s="20"/>
      <c r="B19" s="19"/>
      <c r="C19" s="19"/>
      <c r="D19" s="19"/>
    </row>
    <row r="20" spans="1:10" x14ac:dyDescent="0.35">
      <c r="A20" s="19"/>
      <c r="B20" s="19"/>
      <c r="C20" s="19"/>
      <c r="D20" s="19"/>
    </row>
    <row r="21" spans="1:10" x14ac:dyDescent="0.35">
      <c r="A21" s="19"/>
      <c r="B21" s="19"/>
      <c r="C21" s="19"/>
      <c r="D21" s="19"/>
    </row>
    <row r="22" spans="1:10" x14ac:dyDescent="0.35">
      <c r="A22" s="19"/>
      <c r="B22" s="19"/>
      <c r="C22" s="19"/>
      <c r="D22" s="19"/>
    </row>
    <row r="23" spans="1:10" x14ac:dyDescent="0.35">
      <c r="A23" s="19"/>
      <c r="B23" s="19"/>
      <c r="C23" s="19"/>
      <c r="D23" s="19"/>
    </row>
    <row r="24" spans="1:10" x14ac:dyDescent="0.35">
      <c r="A24" s="20"/>
      <c r="B24" s="19"/>
      <c r="C24" s="19"/>
      <c r="D24" s="19"/>
    </row>
    <row r="25" spans="1:10" x14ac:dyDescent="0.35">
      <c r="A25" s="19"/>
      <c r="B25" s="19"/>
      <c r="C25" s="19"/>
      <c r="D25" s="19"/>
      <c r="J25" s="18"/>
    </row>
    <row r="26" spans="1:10" x14ac:dyDescent="0.35">
      <c r="A26" s="19"/>
      <c r="B26" s="19"/>
      <c r="C26" s="19"/>
      <c r="D26" s="19"/>
    </row>
    <row r="27" spans="1:10" x14ac:dyDescent="0.35">
      <c r="A27" s="19"/>
      <c r="B27" s="19"/>
      <c r="C27" s="19"/>
      <c r="D27" s="19"/>
    </row>
    <row r="28" spans="1:10" x14ac:dyDescent="0.35">
      <c r="A28" s="19"/>
      <c r="B28" s="19"/>
      <c r="C28" s="19"/>
      <c r="D28" s="19"/>
    </row>
    <row r="29" spans="1:10" x14ac:dyDescent="0.35">
      <c r="A29" s="20"/>
      <c r="B29" s="19"/>
      <c r="C29" s="19"/>
      <c r="D29" s="19"/>
    </row>
    <row r="30" spans="1:10" x14ac:dyDescent="0.35">
      <c r="A30" s="19"/>
      <c r="B30" s="19"/>
      <c r="C30" s="19"/>
      <c r="D30" s="19"/>
    </row>
    <row r="31" spans="1:10" x14ac:dyDescent="0.35">
      <c r="A31" s="19"/>
      <c r="B31" s="19"/>
      <c r="C31" s="19"/>
      <c r="D31" s="19"/>
    </row>
    <row r="32" spans="1:10" x14ac:dyDescent="0.35">
      <c r="A32" s="19"/>
      <c r="B32" s="19"/>
      <c r="C32" s="19"/>
      <c r="D32" s="19"/>
    </row>
    <row r="33" spans="1:4" x14ac:dyDescent="0.35">
      <c r="A33" s="19"/>
      <c r="B33" s="19"/>
      <c r="C33" s="19"/>
      <c r="D33" s="19"/>
    </row>
  </sheetData>
  <hyperlinks>
    <hyperlink ref="B1" location="Menu!A1" display="Main Menu" xr:uid="{738D9A93-356D-4B1E-993D-B471EAE7C617}"/>
    <hyperlink ref="C1" location="'A5 Instructions'!A1" display="Instructions" xr:uid="{F87C4AAB-BF17-49D0-BFBB-4B15733E665A}"/>
    <hyperlink ref="E1" location="'2_1 Exercise'!A1" display="                                                       " xr:uid="{0EE67B94-5CEF-4148-A21F-9C6B6D28EA7A}"/>
    <hyperlink ref="D1" location="'2_1 Exercise'!A1" display="                " xr:uid="{A89E2E3F-5DEC-40A0-A8E1-EBAD4960536A}"/>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B4E3-FE8B-404D-B899-9AECA4E6D281}">
  <sheetPr codeName="Sheet3">
    <tabColor rgb="FFFFFF00"/>
  </sheetPr>
  <dimension ref="A1:I148"/>
  <sheetViews>
    <sheetView workbookViewId="0">
      <selection activeCell="C1" sqref="C1"/>
    </sheetView>
  </sheetViews>
  <sheetFormatPr defaultColWidth="11.453125" defaultRowHeight="14.5" x14ac:dyDescent="0.35"/>
  <cols>
    <col min="1" max="1" width="2.54296875" customWidth="1"/>
    <col min="2" max="2" width="24.81640625" style="2" customWidth="1"/>
    <col min="3" max="3" width="23.453125" style="2" customWidth="1"/>
    <col min="4" max="4" width="6.453125" style="2" customWidth="1"/>
    <col min="5" max="6" width="18.6328125" style="2" customWidth="1"/>
    <col min="7" max="7" width="19.08984375" style="2" customWidth="1"/>
    <col min="8" max="9" width="19.08984375" customWidth="1"/>
  </cols>
  <sheetData>
    <row r="1" spans="1:5" s="50" customFormat="1" ht="18.5" x14ac:dyDescent="0.35">
      <c r="A1" s="87"/>
      <c r="B1" s="80" t="s">
        <v>884</v>
      </c>
      <c r="C1" s="80" t="s">
        <v>883</v>
      </c>
    </row>
    <row r="2" spans="1:5" s="50" customFormat="1" ht="15" thickBot="1" x14ac:dyDescent="0.4">
      <c r="B2" s="83"/>
    </row>
    <row r="3" spans="1:5" s="50" customFormat="1" ht="18.5" x14ac:dyDescent="0.45">
      <c r="B3" s="479"/>
      <c r="C3" s="480" t="s">
        <v>1271</v>
      </c>
      <c r="D3" s="56"/>
      <c r="E3" s="57"/>
    </row>
    <row r="4" spans="1:5" s="50" customFormat="1" x14ac:dyDescent="0.35">
      <c r="B4" s="481"/>
      <c r="C4" s="482"/>
      <c r="E4" s="60"/>
    </row>
    <row r="5" spans="1:5" s="50" customFormat="1" ht="15.5" x14ac:dyDescent="0.35">
      <c r="B5" s="483"/>
      <c r="C5" s="484" t="s">
        <v>234</v>
      </c>
      <c r="E5" s="60"/>
    </row>
    <row r="6" spans="1:5" s="50" customFormat="1" x14ac:dyDescent="0.35">
      <c r="B6" s="485"/>
      <c r="C6" s="486" t="s">
        <v>1274</v>
      </c>
      <c r="E6" s="60"/>
    </row>
    <row r="7" spans="1:5" s="50" customFormat="1" x14ac:dyDescent="0.35">
      <c r="B7" s="485"/>
      <c r="C7" s="486" t="s">
        <v>1276</v>
      </c>
      <c r="E7" s="60"/>
    </row>
    <row r="8" spans="1:5" s="50" customFormat="1" x14ac:dyDescent="0.35">
      <c r="B8" s="485"/>
      <c r="C8" s="486" t="s">
        <v>1275</v>
      </c>
      <c r="E8" s="60"/>
    </row>
    <row r="9" spans="1:5" s="50" customFormat="1" x14ac:dyDescent="0.35">
      <c r="B9" s="485"/>
      <c r="C9" s="486"/>
      <c r="E9" s="60"/>
    </row>
    <row r="10" spans="1:5" s="50" customFormat="1" x14ac:dyDescent="0.35">
      <c r="B10" s="481"/>
      <c r="C10" s="482" t="s">
        <v>372</v>
      </c>
      <c r="E10" s="60"/>
    </row>
    <row r="11" spans="1:5" s="50" customFormat="1" x14ac:dyDescent="0.35">
      <c r="B11" s="485"/>
      <c r="C11" s="486" t="s">
        <v>1272</v>
      </c>
      <c r="E11" s="60"/>
    </row>
    <row r="12" spans="1:5" s="50" customFormat="1" x14ac:dyDescent="0.35">
      <c r="B12" s="485"/>
      <c r="C12" s="486"/>
      <c r="E12" s="60"/>
    </row>
    <row r="13" spans="1:5" s="50" customFormat="1" x14ac:dyDescent="0.35">
      <c r="B13" s="481"/>
      <c r="C13" s="482" t="s">
        <v>373</v>
      </c>
      <c r="E13" s="60"/>
    </row>
    <row r="14" spans="1:5" s="50" customFormat="1" x14ac:dyDescent="0.35">
      <c r="B14" s="485"/>
      <c r="C14" s="487" t="s">
        <v>1273</v>
      </c>
      <c r="E14" s="60"/>
    </row>
    <row r="15" spans="1:5" s="50" customFormat="1" ht="15" thickBot="1" x14ac:dyDescent="0.4">
      <c r="B15" s="86"/>
      <c r="C15" s="63"/>
      <c r="D15" s="63"/>
      <c r="E15" s="65"/>
    </row>
    <row r="16" spans="1:5" s="50" customFormat="1" x14ac:dyDescent="0.35">
      <c r="B16" s="83"/>
    </row>
    <row r="17" spans="1:9" s="466" customFormat="1" ht="18.5" x14ac:dyDescent="0.45">
      <c r="A17" s="463" t="s">
        <v>130</v>
      </c>
      <c r="B17" s="464" t="s">
        <v>882</v>
      </c>
      <c r="C17" s="464"/>
      <c r="D17" s="465"/>
    </row>
    <row r="18" spans="1:9" s="50" customFormat="1" x14ac:dyDescent="0.35">
      <c r="B18" s="453" t="s">
        <v>881</v>
      </c>
      <c r="C18" s="454"/>
      <c r="D18" s="454"/>
    </row>
    <row r="19" spans="1:9" s="50" customFormat="1" x14ac:dyDescent="0.35">
      <c r="B19" s="455" t="s">
        <v>1104</v>
      </c>
      <c r="C19" s="456"/>
      <c r="D19" s="456"/>
    </row>
    <row r="20" spans="1:9" s="50" customFormat="1" x14ac:dyDescent="0.35">
      <c r="B20" s="455" t="s">
        <v>1106</v>
      </c>
      <c r="C20" s="456"/>
      <c r="D20" s="456"/>
    </row>
    <row r="21" spans="1:9" s="50" customFormat="1" x14ac:dyDescent="0.35">
      <c r="B21" s="455" t="s">
        <v>1105</v>
      </c>
      <c r="C21" s="456"/>
      <c r="D21" s="456"/>
    </row>
    <row r="22" spans="1:9" s="50" customFormat="1" x14ac:dyDescent="0.35">
      <c r="B22" s="455" t="s">
        <v>1062</v>
      </c>
      <c r="C22" s="456"/>
      <c r="D22" s="456"/>
    </row>
    <row r="23" spans="1:9" s="50" customFormat="1" x14ac:dyDescent="0.35">
      <c r="B23" s="351"/>
    </row>
    <row r="24" spans="1:9" s="101" customFormat="1" ht="18.5" x14ac:dyDescent="0.45">
      <c r="A24" s="98" t="s">
        <v>130</v>
      </c>
      <c r="B24" s="99" t="s">
        <v>238</v>
      </c>
      <c r="C24" s="99"/>
      <c r="D24" s="100"/>
      <c r="I24" s="101" t="s">
        <v>855</v>
      </c>
    </row>
    <row r="25" spans="1:9" x14ac:dyDescent="0.35">
      <c r="A25" s="391"/>
      <c r="B25" t="s">
        <v>1103</v>
      </c>
    </row>
    <row r="26" spans="1:9" x14ac:dyDescent="0.35">
      <c r="A26" s="391"/>
      <c r="B26" t="s">
        <v>569</v>
      </c>
    </row>
    <row r="27" spans="1:9" x14ac:dyDescent="0.35">
      <c r="A27" s="391"/>
      <c r="B27" t="s">
        <v>1102</v>
      </c>
    </row>
    <row r="28" spans="1:9" x14ac:dyDescent="0.35">
      <c r="A28" s="391"/>
      <c r="B28" t="s">
        <v>1101</v>
      </c>
    </row>
    <row r="29" spans="1:9" x14ac:dyDescent="0.35">
      <c r="A29" s="391"/>
      <c r="B29" t="s">
        <v>1100</v>
      </c>
    </row>
    <row r="30" spans="1:9" x14ac:dyDescent="0.35">
      <c r="A30" s="391"/>
      <c r="B30" s="1" t="s">
        <v>1099</v>
      </c>
    </row>
    <row r="31" spans="1:9" x14ac:dyDescent="0.35">
      <c r="A31" s="391"/>
      <c r="B31" s="1" t="s">
        <v>1098</v>
      </c>
    </row>
    <row r="32" spans="1:9" x14ac:dyDescent="0.35">
      <c r="B32"/>
      <c r="C32"/>
      <c r="D32"/>
      <c r="E32"/>
      <c r="F32"/>
      <c r="G32"/>
    </row>
    <row r="33" spans="1:9" x14ac:dyDescent="0.35">
      <c r="A33" s="391"/>
      <c r="B33" t="s">
        <v>571</v>
      </c>
      <c r="C33"/>
      <c r="D33"/>
      <c r="E33"/>
      <c r="F33"/>
      <c r="G33"/>
    </row>
    <row r="34" spans="1:9" x14ac:dyDescent="0.35">
      <c r="A34" s="391"/>
      <c r="B34" t="s">
        <v>1097</v>
      </c>
      <c r="C34"/>
      <c r="D34"/>
      <c r="E34"/>
      <c r="F34"/>
      <c r="G34"/>
    </row>
    <row r="35" spans="1:9" x14ac:dyDescent="0.35">
      <c r="A35" s="391"/>
      <c r="B35" t="s">
        <v>1096</v>
      </c>
      <c r="C35"/>
      <c r="D35"/>
      <c r="E35"/>
      <c r="F35"/>
      <c r="G35"/>
    </row>
    <row r="36" spans="1:9" x14ac:dyDescent="0.35">
      <c r="A36" s="88"/>
      <c r="B36"/>
      <c r="C36"/>
      <c r="D36"/>
      <c r="E36"/>
      <c r="F36"/>
      <c r="G36"/>
    </row>
    <row r="37" spans="1:9" s="94" customFormat="1" ht="18.5" x14ac:dyDescent="0.45">
      <c r="A37" s="93" t="s">
        <v>130</v>
      </c>
      <c r="B37" s="95" t="s">
        <v>1095</v>
      </c>
      <c r="I37" s="488" t="s">
        <v>855</v>
      </c>
    </row>
    <row r="38" spans="1:9" x14ac:dyDescent="0.35">
      <c r="A38" s="391"/>
      <c r="B38" t="s">
        <v>575</v>
      </c>
      <c r="C38"/>
      <c r="D38"/>
      <c r="E38"/>
      <c r="F38"/>
      <c r="G38"/>
    </row>
    <row r="39" spans="1:9" x14ac:dyDescent="0.35">
      <c r="A39" s="88"/>
      <c r="B39" t="s">
        <v>1094</v>
      </c>
      <c r="C39"/>
      <c r="D39"/>
      <c r="E39"/>
      <c r="F39"/>
      <c r="G39"/>
    </row>
    <row r="40" spans="1:9" x14ac:dyDescent="0.35">
      <c r="B40" s="133"/>
      <c r="C40" s="133"/>
      <c r="D40" s="133"/>
      <c r="E40"/>
      <c r="F40"/>
      <c r="G40"/>
    </row>
    <row r="41" spans="1:9" x14ac:dyDescent="0.35">
      <c r="A41" s="391"/>
      <c r="B41" s="1" t="s">
        <v>577</v>
      </c>
      <c r="C41"/>
      <c r="D41"/>
      <c r="E41" s="1" t="s">
        <v>578</v>
      </c>
      <c r="F41"/>
      <c r="G41" s="1" t="s">
        <v>1093</v>
      </c>
    </row>
    <row r="42" spans="1:9" x14ac:dyDescent="0.35">
      <c r="B42" s="149" t="s">
        <v>148</v>
      </c>
      <c r="C42" s="152" t="s">
        <v>149</v>
      </c>
      <c r="D42"/>
      <c r="E42" s="123" t="s">
        <v>579</v>
      </c>
      <c r="F42" s="191" t="s">
        <v>148</v>
      </c>
      <c r="G42" s="218" t="s">
        <v>149</v>
      </c>
    </row>
    <row r="43" spans="1:9" x14ac:dyDescent="0.35">
      <c r="B43" s="153" t="s">
        <v>52</v>
      </c>
      <c r="C43" s="254" t="s">
        <v>53</v>
      </c>
      <c r="E43" s="125" t="s">
        <v>66</v>
      </c>
      <c r="F43" s="21" t="s">
        <v>52</v>
      </c>
      <c r="G43" s="221" t="str">
        <f t="shared" ref="G43:G53" si="0">_xlfn.XLOOKUP(F43,$B$43:$B$49,$C$43:$C$49,"NOT FOUND!!!")</f>
        <v>Miow</v>
      </c>
      <c r="H43" s="2"/>
      <c r="I43" s="2"/>
    </row>
    <row r="44" spans="1:9" x14ac:dyDescent="0.35">
      <c r="B44" s="153" t="s">
        <v>62</v>
      </c>
      <c r="C44" s="254" t="s">
        <v>63</v>
      </c>
      <c r="D44"/>
      <c r="E44" s="125" t="s">
        <v>67</v>
      </c>
      <c r="F44" s="21" t="s">
        <v>54</v>
      </c>
      <c r="G44" s="221" t="str">
        <f t="shared" si="0"/>
        <v>Woof</v>
      </c>
    </row>
    <row r="45" spans="1:9" x14ac:dyDescent="0.35">
      <c r="B45" s="153" t="s">
        <v>58</v>
      </c>
      <c r="C45" s="254" t="s">
        <v>59</v>
      </c>
      <c r="D45"/>
      <c r="E45" s="125" t="s">
        <v>68</v>
      </c>
      <c r="F45" s="21" t="s">
        <v>62</v>
      </c>
      <c r="G45" s="221" t="str">
        <f t="shared" si="0"/>
        <v>???</v>
      </c>
    </row>
    <row r="46" spans="1:9" x14ac:dyDescent="0.35">
      <c r="B46" s="153" t="s">
        <v>56</v>
      </c>
      <c r="C46" s="254" t="s">
        <v>57</v>
      </c>
      <c r="D46"/>
      <c r="E46" s="125" t="s">
        <v>69</v>
      </c>
      <c r="F46" s="21" t="s">
        <v>54</v>
      </c>
      <c r="G46" s="221" t="str">
        <f t="shared" si="0"/>
        <v>Woof</v>
      </c>
    </row>
    <row r="47" spans="1:9" x14ac:dyDescent="0.35">
      <c r="B47" s="153" t="s">
        <v>60</v>
      </c>
      <c r="C47" s="254" t="s">
        <v>61</v>
      </c>
      <c r="D47"/>
      <c r="E47" s="125" t="s">
        <v>70</v>
      </c>
      <c r="F47" s="21" t="s">
        <v>60</v>
      </c>
      <c r="G47" s="221" t="str">
        <f t="shared" si="0"/>
        <v>Oink oink</v>
      </c>
    </row>
    <row r="48" spans="1:9" x14ac:dyDescent="0.35">
      <c r="B48" s="153" t="s">
        <v>64</v>
      </c>
      <c r="C48" s="254" t="s">
        <v>65</v>
      </c>
      <c r="D48"/>
      <c r="E48" s="125" t="s">
        <v>71</v>
      </c>
      <c r="F48" s="21" t="s">
        <v>64</v>
      </c>
      <c r="G48" s="221" t="str">
        <f t="shared" si="0"/>
        <v>Quack quack</v>
      </c>
    </row>
    <row r="49" spans="1:8" x14ac:dyDescent="0.35">
      <c r="B49" s="156" t="s">
        <v>54</v>
      </c>
      <c r="C49" s="255" t="s">
        <v>55</v>
      </c>
      <c r="D49"/>
      <c r="E49" s="125" t="s">
        <v>72</v>
      </c>
      <c r="F49" s="21" t="s">
        <v>58</v>
      </c>
      <c r="G49" s="221" t="str">
        <f t="shared" si="0"/>
        <v>Cricket cricket</v>
      </c>
    </row>
    <row r="50" spans="1:8" x14ac:dyDescent="0.35">
      <c r="B50"/>
      <c r="C50"/>
      <c r="D50"/>
      <c r="E50" s="125" t="s">
        <v>74</v>
      </c>
      <c r="F50" s="21" t="s">
        <v>60</v>
      </c>
      <c r="G50" s="221" t="str">
        <f t="shared" si="0"/>
        <v>Oink oink</v>
      </c>
    </row>
    <row r="51" spans="1:8" x14ac:dyDescent="0.35">
      <c r="B51"/>
      <c r="C51"/>
      <c r="D51" s="10" t="s">
        <v>595</v>
      </c>
      <c r="E51" s="125" t="s">
        <v>214</v>
      </c>
      <c r="F51" s="21" t="s">
        <v>215</v>
      </c>
      <c r="G51" s="221" t="str">
        <f t="shared" si="0"/>
        <v>NOT FOUND!!!</v>
      </c>
    </row>
    <row r="52" spans="1:8" x14ac:dyDescent="0.35">
      <c r="B52" s="10"/>
      <c r="C52" s="10"/>
      <c r="D52" s="10"/>
      <c r="E52" s="125" t="s">
        <v>73</v>
      </c>
      <c r="F52" s="21" t="s">
        <v>60</v>
      </c>
      <c r="G52" s="221" t="str">
        <f t="shared" si="0"/>
        <v>Oink oink</v>
      </c>
    </row>
    <row r="53" spans="1:8" x14ac:dyDescent="0.35">
      <c r="B53" s="10"/>
      <c r="C53" s="10"/>
      <c r="D53" s="10"/>
      <c r="E53" s="127" t="s">
        <v>75</v>
      </c>
      <c r="F53" s="192" t="s">
        <v>52</v>
      </c>
      <c r="G53" s="224" t="str">
        <f t="shared" si="0"/>
        <v>Miow</v>
      </c>
    </row>
    <row r="54" spans="1:8" x14ac:dyDescent="0.35">
      <c r="B54" s="10"/>
      <c r="C54" s="10"/>
      <c r="D54" s="10"/>
      <c r="E54" s="21"/>
      <c r="F54" s="21"/>
      <c r="G54" s="422" t="s">
        <v>1277</v>
      </c>
      <c r="H54" s="21"/>
    </row>
    <row r="55" spans="1:8" x14ac:dyDescent="0.35">
      <c r="B55" s="10"/>
      <c r="C55" s="10"/>
      <c r="D55" s="10"/>
      <c r="E55" s="21"/>
      <c r="F55" s="21"/>
      <c r="G55" s="10"/>
      <c r="H55" s="21"/>
    </row>
    <row r="56" spans="1:8" s="101" customFormat="1" ht="18.5" x14ac:dyDescent="0.45">
      <c r="A56" s="98" t="s">
        <v>130</v>
      </c>
      <c r="B56" s="99" t="s">
        <v>1092</v>
      </c>
      <c r="C56" s="99"/>
      <c r="D56" s="100"/>
    </row>
    <row r="57" spans="1:8" x14ac:dyDescent="0.35">
      <c r="A57" s="391"/>
      <c r="B57" s="434" t="s">
        <v>1277</v>
      </c>
      <c r="C57" s="10"/>
      <c r="D57" s="10"/>
      <c r="E57" s="10"/>
      <c r="F57" s="10"/>
      <c r="G57" s="10"/>
    </row>
    <row r="58" spans="1:8" x14ac:dyDescent="0.35">
      <c r="A58" s="391"/>
      <c r="B58" t="s">
        <v>1278</v>
      </c>
      <c r="C58" s="10"/>
      <c r="D58" s="10"/>
      <c r="E58" s="10"/>
      <c r="F58" s="10"/>
      <c r="G58" s="10"/>
    </row>
    <row r="59" spans="1:8" x14ac:dyDescent="0.35">
      <c r="A59" s="391"/>
      <c r="B59" t="s">
        <v>1279</v>
      </c>
    </row>
    <row r="60" spans="1:8" x14ac:dyDescent="0.35">
      <c r="A60" s="391"/>
      <c r="B60" t="s">
        <v>1280</v>
      </c>
    </row>
    <row r="61" spans="1:8" x14ac:dyDescent="0.35">
      <c r="A61" s="391"/>
      <c r="B61" t="s">
        <v>1091</v>
      </c>
    </row>
    <row r="62" spans="1:8" x14ac:dyDescent="0.35">
      <c r="A62" s="391"/>
      <c r="B62" t="s">
        <v>1090</v>
      </c>
    </row>
    <row r="63" spans="1:8" x14ac:dyDescent="0.35">
      <c r="A63" s="391"/>
      <c r="B63" s="1" t="s">
        <v>1089</v>
      </c>
    </row>
    <row r="64" spans="1:8" x14ac:dyDescent="0.35">
      <c r="A64" s="391"/>
      <c r="B64" s="1" t="s">
        <v>1088</v>
      </c>
    </row>
    <row r="65" spans="1:9" x14ac:dyDescent="0.35">
      <c r="B65"/>
    </row>
    <row r="66" spans="1:9" s="101" customFormat="1" ht="18.5" x14ac:dyDescent="0.45">
      <c r="A66" s="98" t="s">
        <v>130</v>
      </c>
      <c r="B66" s="99" t="s">
        <v>1087</v>
      </c>
      <c r="C66" s="99"/>
      <c r="D66" s="100"/>
      <c r="I66" s="101" t="s">
        <v>855</v>
      </c>
    </row>
    <row r="67" spans="1:9" x14ac:dyDescent="0.35">
      <c r="A67" s="391"/>
      <c r="B67" t="s">
        <v>1086</v>
      </c>
    </row>
    <row r="68" spans="1:9" x14ac:dyDescent="0.35">
      <c r="A68" s="391"/>
      <c r="B68"/>
    </row>
    <row r="69" spans="1:9" x14ac:dyDescent="0.35">
      <c r="A69" s="391"/>
      <c r="B69" t="s">
        <v>1085</v>
      </c>
    </row>
    <row r="70" spans="1:9" x14ac:dyDescent="0.35">
      <c r="A70" s="391"/>
      <c r="B70" t="s">
        <v>1084</v>
      </c>
    </row>
    <row r="71" spans="1:9" x14ac:dyDescent="0.35">
      <c r="A71" s="391"/>
      <c r="B71"/>
    </row>
    <row r="72" spans="1:9" x14ac:dyDescent="0.35">
      <c r="A72" s="391"/>
      <c r="B72" t="s">
        <v>1083</v>
      </c>
    </row>
    <row r="73" spans="1:9" x14ac:dyDescent="0.35">
      <c r="A73" s="391"/>
      <c r="B73" t="s">
        <v>1082</v>
      </c>
    </row>
    <row r="74" spans="1:9" x14ac:dyDescent="0.35">
      <c r="A74" s="391"/>
      <c r="B74" s="1"/>
    </row>
    <row r="75" spans="1:9" x14ac:dyDescent="0.35">
      <c r="A75" s="391"/>
      <c r="B75" t="s">
        <v>1081</v>
      </c>
    </row>
    <row r="76" spans="1:9" x14ac:dyDescent="0.35">
      <c r="A76" s="391"/>
      <c r="B76" t="s">
        <v>1080</v>
      </c>
    </row>
    <row r="78" spans="1:9" s="101" customFormat="1" ht="18.5" x14ac:dyDescent="0.45">
      <c r="A78" s="98" t="s">
        <v>130</v>
      </c>
      <c r="B78" s="99" t="s">
        <v>1079</v>
      </c>
      <c r="C78" s="99"/>
      <c r="D78" s="100"/>
      <c r="I78" s="101" t="s">
        <v>855</v>
      </c>
    </row>
    <row r="79" spans="1:9" x14ac:dyDescent="0.35">
      <c r="A79" s="391"/>
      <c r="B79" t="s">
        <v>1078</v>
      </c>
    </row>
    <row r="80" spans="1:9" x14ac:dyDescent="0.35">
      <c r="A80" s="391"/>
      <c r="B80"/>
    </row>
    <row r="81" spans="1:9" s="94" customFormat="1" ht="18.5" x14ac:dyDescent="0.45">
      <c r="A81" s="93" t="s">
        <v>130</v>
      </c>
      <c r="B81" s="95" t="s">
        <v>1077</v>
      </c>
      <c r="I81" s="488"/>
    </row>
    <row r="82" spans="1:9" x14ac:dyDescent="0.35">
      <c r="A82" s="391"/>
      <c r="B82" s="4" t="s">
        <v>1281</v>
      </c>
      <c r="C82" s="10"/>
      <c r="D82" s="10"/>
      <c r="E82" s="10"/>
      <c r="F82" s="10"/>
      <c r="G82" s="10"/>
    </row>
    <row r="83" spans="1:9" x14ac:dyDescent="0.35">
      <c r="B83"/>
      <c r="C83" s="10"/>
      <c r="D83" s="10"/>
      <c r="E83" s="10"/>
      <c r="F83" s="10"/>
      <c r="G83" s="10"/>
    </row>
    <row r="84" spans="1:9" s="420" customFormat="1" x14ac:dyDescent="0.35">
      <c r="A84" s="391"/>
      <c r="B84" s="429" t="s">
        <v>577</v>
      </c>
      <c r="C84" s="429"/>
      <c r="E84" s="429" t="s">
        <v>578</v>
      </c>
      <c r="F84" s="429"/>
      <c r="G84" s="428"/>
      <c r="H84" s="427"/>
    </row>
    <row r="85" spans="1:9" ht="29" x14ac:dyDescent="0.35">
      <c r="B85" s="263" t="s">
        <v>601</v>
      </c>
      <c r="C85" s="152" t="s">
        <v>149</v>
      </c>
      <c r="D85"/>
      <c r="E85" s="123" t="s">
        <v>579</v>
      </c>
      <c r="F85" s="191" t="s">
        <v>148</v>
      </c>
      <c r="G85" s="259" t="s">
        <v>1076</v>
      </c>
      <c r="H85" s="218" t="s">
        <v>600</v>
      </c>
    </row>
    <row r="86" spans="1:9" x14ac:dyDescent="0.35">
      <c r="B86" s="125" t="s">
        <v>603</v>
      </c>
      <c r="C86" s="254" t="s">
        <v>53</v>
      </c>
      <c r="E86" s="125" t="s">
        <v>66</v>
      </c>
      <c r="F86" s="21" t="s">
        <v>52</v>
      </c>
      <c r="G86" s="251" t="str">
        <f t="shared" ref="G86:G96" si="1">_xlfn.XLOOKUP("*"&amp;F86&amp;"*",$B$86:$B$92,$C$86:$C$92,"NOT FOUND!!!")</f>
        <v>NOT FOUND!!!</v>
      </c>
      <c r="H86" s="221" t="str">
        <f t="shared" ref="H86:H96" si="2">_xlfn.XLOOKUP("*"&amp;F86&amp;"*",$B$86:$B$92,$C$86:$C$92,"NOT FOUND!!!",2)</f>
        <v>Miow</v>
      </c>
      <c r="I86" s="2"/>
    </row>
    <row r="87" spans="1:9" x14ac:dyDescent="0.35">
      <c r="B87" s="125" t="s">
        <v>604</v>
      </c>
      <c r="C87" s="254" t="s">
        <v>63</v>
      </c>
      <c r="D87"/>
      <c r="E87" s="125" t="s">
        <v>67</v>
      </c>
      <c r="F87" s="21" t="s">
        <v>54</v>
      </c>
      <c r="G87" s="251" t="str">
        <f t="shared" si="1"/>
        <v>NOT FOUND!!!</v>
      </c>
      <c r="H87" s="221" t="str">
        <f t="shared" si="2"/>
        <v>Woof</v>
      </c>
    </row>
    <row r="88" spans="1:9" x14ac:dyDescent="0.35">
      <c r="B88" s="125" t="s">
        <v>605</v>
      </c>
      <c r="C88" s="254" t="s">
        <v>59</v>
      </c>
      <c r="D88"/>
      <c r="E88" s="125" t="s">
        <v>68</v>
      </c>
      <c r="F88" s="21" t="s">
        <v>62</v>
      </c>
      <c r="G88" s="251" t="str">
        <f t="shared" si="1"/>
        <v>NOT FOUND!!!</v>
      </c>
      <c r="H88" s="221" t="str">
        <f t="shared" si="2"/>
        <v>???</v>
      </c>
    </row>
    <row r="89" spans="1:9" x14ac:dyDescent="0.35">
      <c r="B89" s="125" t="s">
        <v>606</v>
      </c>
      <c r="C89" s="254" t="s">
        <v>57</v>
      </c>
      <c r="D89"/>
      <c r="E89" s="125" t="s">
        <v>69</v>
      </c>
      <c r="F89" s="21" t="s">
        <v>54</v>
      </c>
      <c r="G89" s="251" t="str">
        <f t="shared" si="1"/>
        <v>NOT FOUND!!!</v>
      </c>
      <c r="H89" s="221" t="str">
        <f t="shared" si="2"/>
        <v>Woof</v>
      </c>
    </row>
    <row r="90" spans="1:9" x14ac:dyDescent="0.35">
      <c r="B90" s="125" t="s">
        <v>607</v>
      </c>
      <c r="C90" s="254" t="s">
        <v>61</v>
      </c>
      <c r="D90"/>
      <c r="E90" s="125" t="s">
        <v>70</v>
      </c>
      <c r="F90" s="21" t="s">
        <v>60</v>
      </c>
      <c r="G90" s="251" t="str">
        <f t="shared" si="1"/>
        <v>NOT FOUND!!!</v>
      </c>
      <c r="H90" s="221" t="str">
        <f t="shared" si="2"/>
        <v>Oink oink</v>
      </c>
    </row>
    <row r="91" spans="1:9" x14ac:dyDescent="0.35">
      <c r="B91" s="125" t="s">
        <v>608</v>
      </c>
      <c r="C91" s="254" t="s">
        <v>65</v>
      </c>
      <c r="D91"/>
      <c r="E91" s="125" t="s">
        <v>71</v>
      </c>
      <c r="F91" s="21" t="s">
        <v>64</v>
      </c>
      <c r="G91" s="251" t="str">
        <f t="shared" si="1"/>
        <v>NOT FOUND!!!</v>
      </c>
      <c r="H91" s="221" t="str">
        <f t="shared" si="2"/>
        <v>Quack quack</v>
      </c>
    </row>
    <row r="92" spans="1:9" x14ac:dyDescent="0.35">
      <c r="B92" s="127" t="s">
        <v>609</v>
      </c>
      <c r="C92" s="255" t="s">
        <v>55</v>
      </c>
      <c r="D92"/>
      <c r="E92" s="125" t="s">
        <v>72</v>
      </c>
      <c r="F92" s="21" t="s">
        <v>58</v>
      </c>
      <c r="G92" s="251" t="str">
        <f t="shared" si="1"/>
        <v>NOT FOUND!!!</v>
      </c>
      <c r="H92" s="221" t="str">
        <f t="shared" si="2"/>
        <v>Cricket cricket</v>
      </c>
    </row>
    <row r="93" spans="1:9" x14ac:dyDescent="0.35">
      <c r="B93"/>
      <c r="C93"/>
      <c r="D93"/>
      <c r="E93" s="125" t="s">
        <v>74</v>
      </c>
      <c r="F93" s="21" t="s">
        <v>60</v>
      </c>
      <c r="G93" s="251" t="str">
        <f t="shared" si="1"/>
        <v>NOT FOUND!!!</v>
      </c>
      <c r="H93" s="221" t="str">
        <f t="shared" si="2"/>
        <v>Oink oink</v>
      </c>
    </row>
    <row r="94" spans="1:9" x14ac:dyDescent="0.35">
      <c r="B94"/>
      <c r="C94"/>
      <c r="D94" s="10" t="s">
        <v>595</v>
      </c>
      <c r="E94" s="252" t="s">
        <v>214</v>
      </c>
      <c r="F94" s="253" t="s">
        <v>215</v>
      </c>
      <c r="G94" s="260" t="str">
        <f t="shared" si="1"/>
        <v>NOT FOUND!!!</v>
      </c>
      <c r="H94" s="256" t="str">
        <f t="shared" si="2"/>
        <v>NOT FOUND!!!</v>
      </c>
    </row>
    <row r="95" spans="1:9" x14ac:dyDescent="0.35">
      <c r="B95" s="10"/>
      <c r="C95" s="10"/>
      <c r="D95" s="10"/>
      <c r="E95" s="125" t="s">
        <v>73</v>
      </c>
      <c r="F95" s="21" t="s">
        <v>60</v>
      </c>
      <c r="G95" s="251" t="str">
        <f t="shared" si="1"/>
        <v>NOT FOUND!!!</v>
      </c>
      <c r="H95" s="221" t="str">
        <f t="shared" si="2"/>
        <v>Oink oink</v>
      </c>
    </row>
    <row r="96" spans="1:9" x14ac:dyDescent="0.35">
      <c r="B96" s="10"/>
      <c r="C96" s="10"/>
      <c r="D96" s="10"/>
      <c r="E96" s="127" t="s">
        <v>75</v>
      </c>
      <c r="F96" s="192" t="s">
        <v>52</v>
      </c>
      <c r="G96" s="433" t="str">
        <f t="shared" si="1"/>
        <v>NOT FOUND!!!</v>
      </c>
      <c r="H96" s="206" t="str">
        <f t="shared" si="2"/>
        <v>Miow</v>
      </c>
    </row>
    <row r="97" spans="1:9" x14ac:dyDescent="0.35">
      <c r="B97" s="10"/>
      <c r="C97" s="10"/>
      <c r="D97" s="10"/>
      <c r="E97" s="21"/>
      <c r="F97" s="21"/>
      <c r="G97" s="430" t="s">
        <v>1282</v>
      </c>
      <c r="H97" s="2" t="s">
        <v>1075</v>
      </c>
    </row>
    <row r="98" spans="1:9" x14ac:dyDescent="0.35">
      <c r="B98" s="10"/>
      <c r="C98" s="10"/>
      <c r="D98" s="10"/>
      <c r="E98" s="21"/>
      <c r="F98" s="21"/>
      <c r="G98" s="432" t="s">
        <v>1283</v>
      </c>
      <c r="H98" s="2" t="s">
        <v>600</v>
      </c>
    </row>
    <row r="99" spans="1:9" x14ac:dyDescent="0.35">
      <c r="B99" s="10"/>
      <c r="C99" s="10"/>
      <c r="D99" s="10"/>
      <c r="E99" s="21"/>
      <c r="F99" s="21"/>
      <c r="G99" s="21"/>
      <c r="H99" s="21"/>
    </row>
    <row r="100" spans="1:9" s="94" customFormat="1" ht="18.5" x14ac:dyDescent="0.45">
      <c r="A100" s="93" t="s">
        <v>130</v>
      </c>
      <c r="B100" s="95" t="s">
        <v>1074</v>
      </c>
      <c r="I100" s="488"/>
    </row>
    <row r="101" spans="1:9" x14ac:dyDescent="0.35">
      <c r="A101" s="391"/>
      <c r="B101" s="4" t="s">
        <v>1073</v>
      </c>
      <c r="C101" s="10"/>
      <c r="D101" s="10"/>
      <c r="E101" s="10"/>
      <c r="F101" s="10"/>
      <c r="G101" s="10"/>
    </row>
    <row r="102" spans="1:9" x14ac:dyDescent="0.35">
      <c r="B102"/>
      <c r="C102" s="10"/>
      <c r="D102" s="10"/>
      <c r="E102" s="10"/>
      <c r="F102" s="10"/>
      <c r="G102" s="10"/>
    </row>
    <row r="103" spans="1:9" s="420" customFormat="1" x14ac:dyDescent="0.35">
      <c r="A103" s="391"/>
      <c r="B103" s="429" t="s">
        <v>1072</v>
      </c>
      <c r="C103" s="429"/>
      <c r="D103" s="429"/>
      <c r="F103" s="429" t="s">
        <v>578</v>
      </c>
      <c r="G103" s="429"/>
      <c r="H103" s="428"/>
      <c r="I103" s="427"/>
    </row>
    <row r="104" spans="1:9" ht="29" x14ac:dyDescent="0.35">
      <c r="B104" s="263" t="s">
        <v>148</v>
      </c>
      <c r="C104" s="191" t="s">
        <v>149</v>
      </c>
      <c r="D104" s="124" t="s">
        <v>1035</v>
      </c>
      <c r="E104"/>
      <c r="F104" s="123" t="s">
        <v>579</v>
      </c>
      <c r="G104" s="191" t="s">
        <v>148</v>
      </c>
      <c r="H104" s="259" t="s">
        <v>149</v>
      </c>
      <c r="I104" s="218" t="s">
        <v>1071</v>
      </c>
    </row>
    <row r="105" spans="1:9" x14ac:dyDescent="0.35">
      <c r="B105" s="153" t="s">
        <v>52</v>
      </c>
      <c r="C105" s="21" t="s">
        <v>53</v>
      </c>
      <c r="D105" s="126">
        <v>5</v>
      </c>
      <c r="E105"/>
      <c r="F105" s="125" t="s">
        <v>66</v>
      </c>
      <c r="G105" s="21" t="s">
        <v>52</v>
      </c>
      <c r="H105" s="251" t="str" cm="1">
        <f t="array" ref="H105:I105">_xlfn.XLOOKUP(G105,$B$105:$B$111,$C$105:$D$111,"NOT FOUND!!!")</f>
        <v>Miow</v>
      </c>
      <c r="I105" s="221">
        <v>5</v>
      </c>
    </row>
    <row r="106" spans="1:9" x14ac:dyDescent="0.35">
      <c r="B106" s="153" t="s">
        <v>62</v>
      </c>
      <c r="C106" s="21" t="s">
        <v>63</v>
      </c>
      <c r="D106" s="126">
        <v>3</v>
      </c>
      <c r="E106"/>
      <c r="F106" s="125" t="s">
        <v>67</v>
      </c>
      <c r="G106" s="21" t="s">
        <v>54</v>
      </c>
      <c r="H106" s="251" t="str" cm="1">
        <f t="array" ref="H106:I106">_xlfn.XLOOKUP(G106,$B$105:$B$111,$C$105:$D$111,"NOT FOUND!!!")</f>
        <v>Woof</v>
      </c>
      <c r="I106" s="221">
        <v>5</v>
      </c>
    </row>
    <row r="107" spans="1:9" x14ac:dyDescent="0.35">
      <c r="B107" s="153" t="s">
        <v>58</v>
      </c>
      <c r="C107" s="21" t="s">
        <v>59</v>
      </c>
      <c r="D107" s="126">
        <v>1</v>
      </c>
      <c r="E107"/>
      <c r="F107" s="125" t="s">
        <v>68</v>
      </c>
      <c r="G107" s="21" t="s">
        <v>62</v>
      </c>
      <c r="H107" s="251" t="str" cm="1">
        <f t="array" ref="H107:I107">_xlfn.XLOOKUP(G107,$B$105:$B$111,$C$105:$D$111,"NOT FOUND!!!")</f>
        <v>???</v>
      </c>
      <c r="I107" s="221">
        <v>3</v>
      </c>
    </row>
    <row r="108" spans="1:9" x14ac:dyDescent="0.35">
      <c r="B108" s="153" t="s">
        <v>56</v>
      </c>
      <c r="C108" s="21" t="s">
        <v>57</v>
      </c>
      <c r="D108" s="126">
        <v>4</v>
      </c>
      <c r="E108"/>
      <c r="F108" s="125" t="s">
        <v>69</v>
      </c>
      <c r="G108" s="21" t="s">
        <v>54</v>
      </c>
      <c r="H108" s="251" t="str" cm="1">
        <f t="array" ref="H108:I108">_xlfn.XLOOKUP(G108,$B$105:$B$111,$C$105:$D$111,"NOT FOUND!!!")</f>
        <v>Woof</v>
      </c>
      <c r="I108" s="221">
        <v>5</v>
      </c>
    </row>
    <row r="109" spans="1:9" x14ac:dyDescent="0.35">
      <c r="B109" s="153" t="s">
        <v>60</v>
      </c>
      <c r="C109" s="21" t="s">
        <v>61</v>
      </c>
      <c r="D109" s="126">
        <v>2</v>
      </c>
      <c r="E109"/>
      <c r="F109" s="125" t="s">
        <v>70</v>
      </c>
      <c r="G109" s="21" t="s">
        <v>60</v>
      </c>
      <c r="H109" s="251" t="str" cm="1">
        <f t="array" ref="H109:I109">_xlfn.XLOOKUP(G109,$B$105:$B$111,$C$105:$D$111,"NOT FOUND!!!")</f>
        <v>Oink oink</v>
      </c>
      <c r="I109" s="221">
        <v>2</v>
      </c>
    </row>
    <row r="110" spans="1:9" x14ac:dyDescent="0.35">
      <c r="B110" s="153" t="s">
        <v>64</v>
      </c>
      <c r="C110" s="21" t="s">
        <v>65</v>
      </c>
      <c r="D110" s="126">
        <v>3</v>
      </c>
      <c r="E110"/>
      <c r="F110" s="125" t="s">
        <v>71</v>
      </c>
      <c r="G110" s="21" t="s">
        <v>64</v>
      </c>
      <c r="H110" s="251" t="str" cm="1">
        <f t="array" ref="H110:I110">_xlfn.XLOOKUP(G110,$B$105:$B$111,$C$105:$D$111,"NOT FOUND!!!")</f>
        <v>Quack quack</v>
      </c>
      <c r="I110" s="221">
        <v>3</v>
      </c>
    </row>
    <row r="111" spans="1:9" x14ac:dyDescent="0.35">
      <c r="B111" s="156" t="s">
        <v>54</v>
      </c>
      <c r="C111" s="158" t="s">
        <v>55</v>
      </c>
      <c r="D111" s="128">
        <v>5</v>
      </c>
      <c r="E111"/>
      <c r="F111" s="125" t="s">
        <v>72</v>
      </c>
      <c r="G111" s="21" t="s">
        <v>58</v>
      </c>
      <c r="H111" s="251" t="str" cm="1">
        <f t="array" ref="H111:I111">_xlfn.XLOOKUP(G111,$B$105:$B$111,$C$105:$D$111,"NOT FOUND!!!")</f>
        <v>Cricket cricket</v>
      </c>
      <c r="I111" s="221">
        <v>1</v>
      </c>
    </row>
    <row r="112" spans="1:9" x14ac:dyDescent="0.35">
      <c r="B112"/>
      <c r="C112"/>
      <c r="D112"/>
      <c r="E112"/>
      <c r="F112" s="125" t="s">
        <v>74</v>
      </c>
      <c r="G112" s="21" t="s">
        <v>60</v>
      </c>
      <c r="H112" s="251" t="str" cm="1">
        <f t="array" ref="H112:I112">_xlfn.XLOOKUP(G112,$B$105:$B$111,$C$105:$D$111,"NOT FOUND!!!")</f>
        <v>Oink oink</v>
      </c>
      <c r="I112" s="221">
        <v>2</v>
      </c>
    </row>
    <row r="113" spans="1:9" x14ac:dyDescent="0.35">
      <c r="B113"/>
      <c r="C113"/>
      <c r="E113" s="10" t="s">
        <v>595</v>
      </c>
      <c r="F113" s="252" t="s">
        <v>214</v>
      </c>
      <c r="G113" s="253" t="s">
        <v>215</v>
      </c>
      <c r="H113" s="251" t="str" cm="1">
        <f t="array" ref="H113">_xlfn.XLOOKUP(G113,$B$105:$B$111,$C$105:$D$111,"NOT FOUND!!!")</f>
        <v>NOT FOUND!!!</v>
      </c>
      <c r="I113" s="221"/>
    </row>
    <row r="114" spans="1:9" x14ac:dyDescent="0.35">
      <c r="B114" s="10"/>
      <c r="C114" s="10"/>
      <c r="D114" s="10"/>
      <c r="E114"/>
      <c r="F114" s="125" t="s">
        <v>73</v>
      </c>
      <c r="G114" s="21" t="s">
        <v>60</v>
      </c>
      <c r="H114" s="251" t="str" cm="1">
        <f t="array" ref="H114:I114">_xlfn.XLOOKUP(G114,$B$105:$B$111,$C$105:$D$111,"NOT FOUND!!!")</f>
        <v>Oink oink</v>
      </c>
      <c r="I114" s="221">
        <v>2</v>
      </c>
    </row>
    <row r="115" spans="1:9" x14ac:dyDescent="0.35">
      <c r="B115" s="10"/>
      <c r="C115" s="10"/>
      <c r="D115" s="10"/>
      <c r="E115"/>
      <c r="F115" s="127" t="s">
        <v>75</v>
      </c>
      <c r="G115" s="192" t="s">
        <v>52</v>
      </c>
      <c r="H115" s="431" t="str" cm="1">
        <f t="array" ref="H115:I115">_xlfn.XLOOKUP(G115,$B$105:$B$111,$C$105:$D$111,"NOT FOUND!!!")</f>
        <v>Miow</v>
      </c>
      <c r="I115" s="206">
        <v>5</v>
      </c>
    </row>
    <row r="116" spans="1:9" x14ac:dyDescent="0.35">
      <c r="B116" s="10"/>
      <c r="C116" s="10"/>
      <c r="D116" s="10"/>
      <c r="E116"/>
      <c r="F116" s="21"/>
      <c r="G116" s="21"/>
      <c r="H116" s="430" t="s">
        <v>1284</v>
      </c>
      <c r="I116" s="2"/>
    </row>
    <row r="117" spans="1:9" x14ac:dyDescent="0.35">
      <c r="B117"/>
      <c r="C117"/>
      <c r="D117"/>
      <c r="E117"/>
      <c r="F117"/>
      <c r="G117"/>
    </row>
    <row r="118" spans="1:9" s="94" customFormat="1" ht="18.5" x14ac:dyDescent="0.45">
      <c r="A118" s="93" t="s">
        <v>130</v>
      </c>
      <c r="B118" s="95" t="s">
        <v>1070</v>
      </c>
      <c r="I118" s="488"/>
    </row>
    <row r="119" spans="1:9" x14ac:dyDescent="0.35">
      <c r="A119" s="391"/>
      <c r="B119" s="4" t="s">
        <v>1069</v>
      </c>
      <c r="C119" s="10"/>
      <c r="D119" s="10"/>
      <c r="E119" s="10"/>
      <c r="F119" s="10"/>
      <c r="G119" s="10"/>
    </row>
    <row r="120" spans="1:9" x14ac:dyDescent="0.35">
      <c r="B120"/>
      <c r="C120" s="10"/>
      <c r="D120" s="10"/>
      <c r="E120" s="10"/>
      <c r="F120" s="10"/>
      <c r="G120" s="10"/>
    </row>
    <row r="121" spans="1:9" s="420" customFormat="1" x14ac:dyDescent="0.35">
      <c r="A121" s="391"/>
      <c r="B121" s="429" t="s">
        <v>1068</v>
      </c>
      <c r="C121" s="429"/>
      <c r="D121" s="429"/>
      <c r="F121" s="429" t="s">
        <v>1067</v>
      </c>
      <c r="G121" s="429"/>
      <c r="H121" s="428"/>
      <c r="I121" s="427"/>
    </row>
    <row r="122" spans="1:9" x14ac:dyDescent="0.35">
      <c r="B122" s="263" t="s">
        <v>148</v>
      </c>
      <c r="C122" s="191" t="s">
        <v>149</v>
      </c>
      <c r="D122" s="124" t="s">
        <v>1035</v>
      </c>
      <c r="E122"/>
      <c r="F122" s="123" t="s">
        <v>579</v>
      </c>
      <c r="G122" s="426" t="s">
        <v>148</v>
      </c>
      <c r="H122" s="425" t="s">
        <v>149</v>
      </c>
      <c r="I122" s="218" t="s">
        <v>1035</v>
      </c>
    </row>
    <row r="123" spans="1:9" x14ac:dyDescent="0.35">
      <c r="B123" s="153" t="s">
        <v>52</v>
      </c>
      <c r="C123" s="21" t="s">
        <v>53</v>
      </c>
      <c r="D123" s="126">
        <v>5</v>
      </c>
      <c r="E123"/>
      <c r="F123" s="125" t="s">
        <v>66</v>
      </c>
      <c r="G123" s="21" t="s">
        <v>52</v>
      </c>
      <c r="H123" s="424" t="s">
        <v>1066</v>
      </c>
      <c r="I123" s="221" cm="1">
        <f t="array" ref="I123">_xlfn.XLOOKUP(1,($B$123:$B$126=G123)*($C$123:$C$126=H123),$D$123:$D$126,"")</f>
        <v>1</v>
      </c>
    </row>
    <row r="124" spans="1:9" x14ac:dyDescent="0.35">
      <c r="B124" s="153" t="s">
        <v>52</v>
      </c>
      <c r="C124" s="21" t="s">
        <v>1066</v>
      </c>
      <c r="D124" s="126">
        <v>1</v>
      </c>
      <c r="E124"/>
      <c r="F124" s="125" t="s">
        <v>67</v>
      </c>
      <c r="G124" s="21" t="s">
        <v>52</v>
      </c>
      <c r="H124" s="424" t="s">
        <v>53</v>
      </c>
      <c r="I124" s="221" cm="1">
        <f t="array" ref="I124">_xlfn.XLOOKUP(1,($B$123:$B$126=G124)*($C$123:$C$126=H124),$D$123:$D$126,"")</f>
        <v>5</v>
      </c>
    </row>
    <row r="125" spans="1:9" x14ac:dyDescent="0.35">
      <c r="B125" s="153" t="s">
        <v>54</v>
      </c>
      <c r="C125" s="21" t="s">
        <v>1064</v>
      </c>
      <c r="D125" s="126">
        <v>2</v>
      </c>
      <c r="E125"/>
      <c r="F125" s="125" t="s">
        <v>1065</v>
      </c>
      <c r="G125" s="21" t="s">
        <v>52</v>
      </c>
      <c r="H125" s="424" t="s">
        <v>1064</v>
      </c>
      <c r="I125" s="221" cm="1">
        <f t="array" ref="I125">_xlfn.XLOOKUP(1,($B$123:$B$126=G125)*($C$123:$C$126=H125),$D$123:$D$126,"")</f>
        <v>2</v>
      </c>
    </row>
    <row r="126" spans="1:9" x14ac:dyDescent="0.35">
      <c r="B126" s="156" t="s">
        <v>52</v>
      </c>
      <c r="C126" s="158" t="s">
        <v>1064</v>
      </c>
      <c r="D126" s="128">
        <v>2</v>
      </c>
      <c r="E126"/>
      <c r="F126" s="127" t="s">
        <v>1063</v>
      </c>
      <c r="G126" s="192" t="s">
        <v>52</v>
      </c>
      <c r="H126" s="423" t="s">
        <v>53</v>
      </c>
      <c r="I126" s="206" cm="1">
        <f t="array" ref="I126">_xlfn.XLOOKUP(1,($B$123:$B$126=G126)*($C$123:$C$126=H126),$D$123:$D$126,"")</f>
        <v>5</v>
      </c>
    </row>
    <row r="127" spans="1:9" x14ac:dyDescent="0.35">
      <c r="B127"/>
      <c r="C127"/>
      <c r="E127"/>
      <c r="F127" s="21"/>
      <c r="G127" s="21"/>
      <c r="H127" s="21"/>
      <c r="I127" s="422" t="s">
        <v>1285</v>
      </c>
    </row>
    <row r="128" spans="1:9" x14ac:dyDescent="0.35">
      <c r="B128"/>
      <c r="C128"/>
      <c r="E128"/>
      <c r="F128" s="21"/>
      <c r="G128" s="21"/>
      <c r="H128" s="21"/>
      <c r="I128" s="421"/>
    </row>
    <row r="129" spans="1:9" x14ac:dyDescent="0.35">
      <c r="B129" s="10"/>
      <c r="C129" s="10"/>
      <c r="D129" s="10"/>
      <c r="E129" s="10"/>
      <c r="F129" s="10"/>
      <c r="G129" s="10"/>
    </row>
    <row r="130" spans="1:9" s="101" customFormat="1" ht="18.5" x14ac:dyDescent="0.45">
      <c r="A130" s="98" t="s">
        <v>130</v>
      </c>
      <c r="B130" s="99" t="s">
        <v>1062</v>
      </c>
      <c r="C130" s="99"/>
      <c r="D130" s="100"/>
      <c r="I130" s="101" t="s">
        <v>855</v>
      </c>
    </row>
    <row r="131" spans="1:9" x14ac:dyDescent="0.35">
      <c r="A131" s="391"/>
      <c r="B131" s="3" t="s">
        <v>1061</v>
      </c>
    </row>
    <row r="132" spans="1:9" x14ac:dyDescent="0.35">
      <c r="A132" s="391"/>
      <c r="B132" s="2" t="s">
        <v>1060</v>
      </c>
    </row>
    <row r="133" spans="1:9" x14ac:dyDescent="0.35">
      <c r="A133" s="391"/>
      <c r="B133" s="2" t="s">
        <v>1286</v>
      </c>
    </row>
    <row r="134" spans="1:9" x14ac:dyDescent="0.35">
      <c r="A134" s="391"/>
      <c r="B134" s="2" t="s">
        <v>1059</v>
      </c>
    </row>
    <row r="136" spans="1:9" s="420" customFormat="1" x14ac:dyDescent="0.35">
      <c r="A136" s="391"/>
      <c r="B136" s="420" t="s">
        <v>577</v>
      </c>
      <c r="E136" s="420" t="s">
        <v>646</v>
      </c>
    </row>
    <row r="137" spans="1:9" x14ac:dyDescent="0.35">
      <c r="B137" s="149" t="s">
        <v>148</v>
      </c>
      <c r="C137" s="152" t="s">
        <v>149</v>
      </c>
      <c r="E137" s="266" t="s">
        <v>140</v>
      </c>
      <c r="F137" s="419" t="s">
        <v>622</v>
      </c>
      <c r="G137" s="268" t="s">
        <v>623</v>
      </c>
      <c r="H137" s="265"/>
      <c r="I137" s="187"/>
    </row>
    <row r="138" spans="1:9" x14ac:dyDescent="0.35">
      <c r="B138" s="153" t="s">
        <v>52</v>
      </c>
      <c r="C138" s="254" t="s">
        <v>53</v>
      </c>
      <c r="E138" s="266" t="s">
        <v>619</v>
      </c>
      <c r="F138" s="418" t="str">
        <f>VLOOKUP(C146,$B$138:$C$144,2,FALSE)</f>
        <v>Miow</v>
      </c>
      <c r="G138" s="268" t="s">
        <v>1287</v>
      </c>
      <c r="H138" s="265"/>
      <c r="I138" s="187"/>
    </row>
    <row r="139" spans="1:9" x14ac:dyDescent="0.35">
      <c r="B139" s="153" t="s">
        <v>62</v>
      </c>
      <c r="C139" s="254" t="s">
        <v>63</v>
      </c>
      <c r="E139" s="269" t="s">
        <v>620</v>
      </c>
      <c r="F139" s="220" t="str">
        <f>_xlfn.XLOOKUP(C146,$B$138:$B$144,$C$138:$C$144,"???",0)</f>
        <v>Miow</v>
      </c>
      <c r="G139" s="270" t="s">
        <v>1288</v>
      </c>
      <c r="I139" s="173"/>
    </row>
    <row r="140" spans="1:9" x14ac:dyDescent="0.35">
      <c r="B140" s="153" t="s">
        <v>58</v>
      </c>
      <c r="C140" s="254" t="s">
        <v>59</v>
      </c>
      <c r="E140" s="271" t="s">
        <v>621</v>
      </c>
      <c r="F140" s="272" t="str">
        <f>INDEX($B$138:$C$144,MATCH(C146,$B$138:$B$144,0),2)</f>
        <v>Miow</v>
      </c>
      <c r="G140" s="273" t="s">
        <v>1289</v>
      </c>
      <c r="H140" s="157"/>
      <c r="I140" s="175"/>
    </row>
    <row r="141" spans="1:9" s="2" customFormat="1" x14ac:dyDescent="0.35">
      <c r="A141"/>
      <c r="B141" s="153" t="s">
        <v>56</v>
      </c>
      <c r="C141" s="254" t="s">
        <v>57</v>
      </c>
      <c r="H141"/>
      <c r="I141"/>
    </row>
    <row r="142" spans="1:9" s="2" customFormat="1" x14ac:dyDescent="0.35">
      <c r="A142"/>
      <c r="B142" s="153" t="s">
        <v>60</v>
      </c>
      <c r="C142" s="254" t="s">
        <v>61</v>
      </c>
      <c r="E142" s="123" t="s">
        <v>645</v>
      </c>
      <c r="F142" s="281" t="s">
        <v>647</v>
      </c>
      <c r="H142"/>
      <c r="I142"/>
    </row>
    <row r="143" spans="1:9" s="2" customFormat="1" x14ac:dyDescent="0.35">
      <c r="A143"/>
      <c r="B143" s="153" t="s">
        <v>64</v>
      </c>
      <c r="C143" s="254" t="s">
        <v>65</v>
      </c>
      <c r="E143" s="282" t="s">
        <v>624</v>
      </c>
      <c r="F143" s="274" t="s">
        <v>1290</v>
      </c>
      <c r="H143"/>
      <c r="I143"/>
    </row>
    <row r="144" spans="1:9" s="2" customFormat="1" x14ac:dyDescent="0.35">
      <c r="A144"/>
      <c r="B144" s="156" t="s">
        <v>54</v>
      </c>
      <c r="C144" s="255" t="s">
        <v>55</v>
      </c>
      <c r="E144" s="283" t="s">
        <v>631</v>
      </c>
      <c r="F144" s="275" t="s">
        <v>1291</v>
      </c>
      <c r="H144"/>
      <c r="I144"/>
    </row>
    <row r="145" spans="1:9" s="2" customFormat="1" x14ac:dyDescent="0.35">
      <c r="A145"/>
      <c r="E145" s="284" t="s">
        <v>625</v>
      </c>
      <c r="F145" s="276" t="s">
        <v>1292</v>
      </c>
      <c r="H145"/>
      <c r="I145"/>
    </row>
    <row r="146" spans="1:9" s="2" customFormat="1" x14ac:dyDescent="0.35">
      <c r="A146"/>
      <c r="B146" s="11" t="s">
        <v>618</v>
      </c>
      <c r="C146" s="21" t="s">
        <v>52</v>
      </c>
      <c r="E146" s="285" t="s">
        <v>626</v>
      </c>
      <c r="F146" s="277" t="s">
        <v>1293</v>
      </c>
      <c r="H146"/>
      <c r="I146"/>
    </row>
    <row r="147" spans="1:9" s="2" customFormat="1" x14ac:dyDescent="0.35">
      <c r="A147"/>
      <c r="B147" s="11"/>
      <c r="C147" s="21"/>
      <c r="E147" s="417" t="s">
        <v>598</v>
      </c>
      <c r="F147" s="416" t="s">
        <v>1058</v>
      </c>
      <c r="H147"/>
      <c r="I147"/>
    </row>
    <row r="148" spans="1:9" s="2" customFormat="1" x14ac:dyDescent="0.35">
      <c r="A148"/>
      <c r="E148" s="286" t="s">
        <v>627</v>
      </c>
      <c r="F148" s="278" t="s">
        <v>636</v>
      </c>
      <c r="H148"/>
      <c r="I148"/>
    </row>
  </sheetData>
  <hyperlinks>
    <hyperlink ref="B1" location="Menu!A1" display="   Main Menu   " xr:uid="{4EF7F73B-2470-474A-8BD4-8857CC520A2E}"/>
    <hyperlink ref="C1" location="'B1 Exercise'!A1" display="    Exercises    " xr:uid="{D4C9896B-4367-4756-BDDF-03A9102B74D9}"/>
    <hyperlink ref="B19" location="HowTo" display="How to get Flash Fill to work" xr:uid="{B2F87DD3-7E5A-41C1-A003-958D952119BF}"/>
    <hyperlink ref="B20" location="Prerequesite" display="What needs to be in place for Flash Fill to work" xr:uid="{0F788216-852D-42C5-A66C-A37ACF00A519}"/>
    <hyperlink ref="B21" location="ImportantNotes" display="Flash Fill for experts" xr:uid="{10A3E2C2-EEAD-4A7E-B383-5C635159E076}"/>
    <hyperlink ref="I66" location="Top" display="Top" xr:uid="{84AAB442-C144-4270-ABD3-FE47783A96CD}"/>
    <hyperlink ref="I78" location="Top" display="Top" xr:uid="{FAE47094-2729-40ED-8B9D-5F3757928F13}"/>
    <hyperlink ref="I130" location="Top" display="Top" xr:uid="{00F18B8B-1ADE-4128-BB5C-0610E999A6EB}"/>
    <hyperlink ref="B22" location="Versus" display="XLookup versus VLookup versus Index/Match" xr:uid="{73ACACCF-87F2-411A-9928-CA7C04AD0140}"/>
    <hyperlink ref="I37" location="Top" display="Top" xr:uid="{83102916-B506-4C2C-B7D5-D4953AAF0702}"/>
    <hyperlink ref="I24" location="Top" display="Top" xr:uid="{1122E18D-8874-4B4A-842F-E3CA470725DE}"/>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87E8-A3A2-4900-84A2-232AA8D0CDA2}">
  <sheetPr codeName="Sheet4">
    <tabColor theme="8" tint="-0.499984740745262"/>
  </sheetPr>
  <dimension ref="A1:AV180"/>
  <sheetViews>
    <sheetView workbookViewId="0">
      <selection activeCell="B1" sqref="B1"/>
    </sheetView>
  </sheetViews>
  <sheetFormatPr defaultColWidth="11.453125" defaultRowHeight="14.5" x14ac:dyDescent="0.35"/>
  <cols>
    <col min="1" max="1" width="2.54296875" customWidth="1"/>
    <col min="2" max="4" width="19.1796875" customWidth="1"/>
    <col min="5" max="9" width="19.08984375" customWidth="1"/>
  </cols>
  <sheetData>
    <row r="1" spans="1:48" s="50" customFormat="1" ht="19" thickTop="1" x14ac:dyDescent="0.35">
      <c r="B1" s="80" t="s">
        <v>1055</v>
      </c>
      <c r="C1" s="80" t="s">
        <v>359</v>
      </c>
      <c r="T1" s="469"/>
      <c r="AR1" s="470"/>
      <c r="AS1" s="471"/>
      <c r="AT1" s="471"/>
      <c r="AU1" s="472"/>
      <c r="AV1" s="51"/>
    </row>
    <row r="2" spans="1:48" s="50" customFormat="1" x14ac:dyDescent="0.35"/>
    <row r="3" spans="1:48" s="107" customFormat="1" ht="18.5" x14ac:dyDescent="0.45">
      <c r="A3" s="104"/>
      <c r="B3" s="105" t="s">
        <v>1217</v>
      </c>
      <c r="C3" s="106"/>
    </row>
    <row r="4" spans="1:48" s="50" customFormat="1" x14ac:dyDescent="0.35">
      <c r="AR4" s="467"/>
      <c r="AU4" s="468"/>
    </row>
    <row r="5" spans="1:48" s="466" customFormat="1" ht="18.5" x14ac:dyDescent="0.45">
      <c r="A5" s="463" t="s">
        <v>130</v>
      </c>
      <c r="B5" s="464" t="s">
        <v>882</v>
      </c>
      <c r="C5" s="464"/>
      <c r="D5" s="465"/>
    </row>
    <row r="6" spans="1:48" x14ac:dyDescent="0.35">
      <c r="B6" s="396" t="s">
        <v>881</v>
      </c>
      <c r="C6" s="395"/>
      <c r="D6" s="395"/>
    </row>
    <row r="7" spans="1:48" x14ac:dyDescent="0.35">
      <c r="B7" s="394" t="s">
        <v>1216</v>
      </c>
      <c r="C7" s="393"/>
      <c r="D7" s="393"/>
    </row>
    <row r="8" spans="1:48" x14ac:dyDescent="0.35">
      <c r="B8" s="394" t="s">
        <v>1200</v>
      </c>
      <c r="C8" s="393"/>
      <c r="D8" s="393"/>
    </row>
    <row r="9" spans="1:48" x14ac:dyDescent="0.35">
      <c r="B9" s="394" t="s">
        <v>1198</v>
      </c>
      <c r="C9" s="393"/>
      <c r="D9" s="393"/>
    </row>
    <row r="10" spans="1:48" x14ac:dyDescent="0.35">
      <c r="B10" s="394" t="s">
        <v>1158</v>
      </c>
      <c r="C10" s="393"/>
      <c r="D10" s="393"/>
    </row>
    <row r="11" spans="1:48" x14ac:dyDescent="0.35">
      <c r="B11" s="394" t="s">
        <v>1119</v>
      </c>
      <c r="C11" s="393"/>
      <c r="D11" s="393"/>
    </row>
    <row r="12" spans="1:48" x14ac:dyDescent="0.35">
      <c r="B12" s="394" t="s">
        <v>1403</v>
      </c>
      <c r="C12" s="393"/>
      <c r="D12" s="393"/>
    </row>
    <row r="14" spans="1:48" s="96" customFormat="1" ht="18.5" x14ac:dyDescent="0.45">
      <c r="A14" s="117"/>
      <c r="B14" s="96" t="s">
        <v>1215</v>
      </c>
      <c r="I14" s="96" t="s">
        <v>855</v>
      </c>
    </row>
    <row r="15" spans="1:48" x14ac:dyDescent="0.35">
      <c r="E15" s="2"/>
    </row>
    <row r="16" spans="1:48" x14ac:dyDescent="0.35">
      <c r="B16" s="478" t="s">
        <v>359</v>
      </c>
      <c r="C16" s="478"/>
      <c r="D16" s="478"/>
      <c r="E16" s="478"/>
      <c r="F16" s="478"/>
      <c r="G16" s="478"/>
      <c r="H16" s="478"/>
      <c r="I16" s="478"/>
    </row>
    <row r="17" spans="1:21" x14ac:dyDescent="0.35">
      <c r="B17" t="s">
        <v>1214</v>
      </c>
      <c r="E17" s="2"/>
    </row>
    <row r="18" spans="1:21" x14ac:dyDescent="0.35">
      <c r="B18" t="s">
        <v>1213</v>
      </c>
      <c r="E18" s="2"/>
    </row>
    <row r="19" spans="1:21" x14ac:dyDescent="0.35">
      <c r="E19" s="2"/>
    </row>
    <row r="20" spans="1:21" ht="15" thickBot="1" x14ac:dyDescent="0.4">
      <c r="B20" s="477" t="s">
        <v>640</v>
      </c>
      <c r="C20" s="477"/>
      <c r="D20" s="477"/>
      <c r="E20" s="477" t="s">
        <v>641</v>
      </c>
      <c r="F20" s="477"/>
      <c r="G20" s="477"/>
      <c r="H20" s="477"/>
      <c r="I20" s="477"/>
    </row>
    <row r="21" spans="1:21" s="133" customFormat="1" x14ac:dyDescent="0.35">
      <c r="A21"/>
      <c r="B21" s="149" t="s">
        <v>148</v>
      </c>
      <c r="C21" s="152" t="s">
        <v>149</v>
      </c>
      <c r="D21" s="449"/>
      <c r="E21" s="123" t="s">
        <v>1212</v>
      </c>
      <c r="F21" s="191" t="s">
        <v>1211</v>
      </c>
      <c r="G21" s="280" t="s">
        <v>1210</v>
      </c>
    </row>
    <row r="22" spans="1:21" x14ac:dyDescent="0.35">
      <c r="B22" s="153" t="s">
        <v>1202</v>
      </c>
      <c r="C22" s="254" t="s">
        <v>1201</v>
      </c>
      <c r="D22" s="153"/>
      <c r="E22" s="125" t="s">
        <v>70</v>
      </c>
      <c r="F22" s="21" t="s">
        <v>60</v>
      </c>
      <c r="G22" s="411"/>
      <c r="T22" s="110" t="s">
        <v>61</v>
      </c>
      <c r="U22" s="110"/>
    </row>
    <row r="23" spans="1:21" x14ac:dyDescent="0.35">
      <c r="B23" s="153" t="s">
        <v>52</v>
      </c>
      <c r="C23" s="254" t="s">
        <v>53</v>
      </c>
      <c r="D23" s="153"/>
      <c r="E23" s="125" t="s">
        <v>1209</v>
      </c>
      <c r="F23" s="21" t="s">
        <v>1202</v>
      </c>
      <c r="G23" s="411"/>
      <c r="T23" s="110" t="s">
        <v>1201</v>
      </c>
      <c r="U23" s="110"/>
    </row>
    <row r="24" spans="1:21" x14ac:dyDescent="0.35">
      <c r="B24" s="153" t="s">
        <v>56</v>
      </c>
      <c r="C24" s="254" t="s">
        <v>57</v>
      </c>
      <c r="D24" s="153"/>
      <c r="E24" s="125" t="s">
        <v>1208</v>
      </c>
      <c r="F24" s="21" t="s">
        <v>60</v>
      </c>
      <c r="G24" s="411"/>
      <c r="T24" s="110" t="s">
        <v>61</v>
      </c>
      <c r="U24" s="110"/>
    </row>
    <row r="25" spans="1:21" x14ac:dyDescent="0.35">
      <c r="B25" s="153" t="s">
        <v>58</v>
      </c>
      <c r="C25" s="254" t="s">
        <v>59</v>
      </c>
      <c r="D25" s="153"/>
      <c r="E25" s="125" t="s">
        <v>71</v>
      </c>
      <c r="F25" s="21" t="s">
        <v>64</v>
      </c>
      <c r="G25" s="411"/>
      <c r="T25" s="110" t="s">
        <v>65</v>
      </c>
      <c r="U25" s="110"/>
    </row>
    <row r="26" spans="1:21" x14ac:dyDescent="0.35">
      <c r="B26" s="153" t="s">
        <v>54</v>
      </c>
      <c r="C26" s="254" t="s">
        <v>55</v>
      </c>
      <c r="D26" s="153"/>
      <c r="E26" s="125" t="s">
        <v>66</v>
      </c>
      <c r="F26" s="21" t="s">
        <v>52</v>
      </c>
      <c r="G26" s="411"/>
      <c r="T26" s="110" t="s">
        <v>53</v>
      </c>
      <c r="U26" s="110"/>
    </row>
    <row r="27" spans="1:21" x14ac:dyDescent="0.35">
      <c r="B27" s="153" t="s">
        <v>64</v>
      </c>
      <c r="C27" s="254" t="s">
        <v>65</v>
      </c>
      <c r="D27" s="153"/>
      <c r="E27" s="125" t="s">
        <v>68</v>
      </c>
      <c r="F27" s="21" t="s">
        <v>62</v>
      </c>
      <c r="G27" s="411"/>
      <c r="T27" s="110" t="s">
        <v>63</v>
      </c>
      <c r="U27" s="110"/>
    </row>
    <row r="28" spans="1:21" x14ac:dyDescent="0.35">
      <c r="B28" s="153" t="s">
        <v>62</v>
      </c>
      <c r="C28" s="254" t="s">
        <v>63</v>
      </c>
      <c r="D28" s="153"/>
      <c r="E28" s="125" t="s">
        <v>72</v>
      </c>
      <c r="F28" s="21" t="s">
        <v>58</v>
      </c>
      <c r="G28" s="411"/>
      <c r="T28" s="110" t="s">
        <v>59</v>
      </c>
      <c r="U28" s="110"/>
    </row>
    <row r="29" spans="1:21" x14ac:dyDescent="0.35">
      <c r="B29" s="153" t="s">
        <v>1207</v>
      </c>
      <c r="C29" s="254" t="s">
        <v>1206</v>
      </c>
      <c r="D29" s="153"/>
      <c r="E29" s="125" t="s">
        <v>214</v>
      </c>
      <c r="F29" s="21" t="s">
        <v>215</v>
      </c>
      <c r="G29" s="411"/>
      <c r="T29" s="110" t="s">
        <v>1205</v>
      </c>
      <c r="U29" s="110"/>
    </row>
    <row r="30" spans="1:21" x14ac:dyDescent="0.35">
      <c r="B30" s="156" t="s">
        <v>60</v>
      </c>
      <c r="C30" s="255" t="s">
        <v>61</v>
      </c>
      <c r="D30" s="153"/>
      <c r="E30" s="125" t="s">
        <v>69</v>
      </c>
      <c r="F30" s="21" t="s">
        <v>54</v>
      </c>
      <c r="G30" s="411"/>
      <c r="T30" s="110" t="s">
        <v>55</v>
      </c>
      <c r="U30" s="110"/>
    </row>
    <row r="31" spans="1:21" x14ac:dyDescent="0.35">
      <c r="E31" s="125" t="s">
        <v>67</v>
      </c>
      <c r="F31" s="21" t="s">
        <v>54</v>
      </c>
      <c r="G31" s="411"/>
      <c r="T31" s="110" t="s">
        <v>55</v>
      </c>
      <c r="U31" s="110"/>
    </row>
    <row r="32" spans="1:21" x14ac:dyDescent="0.35">
      <c r="E32" s="125" t="s">
        <v>1204</v>
      </c>
      <c r="F32" s="21" t="s">
        <v>52</v>
      </c>
      <c r="G32" s="411"/>
      <c r="T32" s="110" t="s">
        <v>53</v>
      </c>
      <c r="U32" s="110"/>
    </row>
    <row r="33" spans="1:21" x14ac:dyDescent="0.35">
      <c r="E33" s="125" t="s">
        <v>73</v>
      </c>
      <c r="F33" s="21" t="s">
        <v>60</v>
      </c>
      <c r="G33" s="411"/>
      <c r="T33" s="110" t="s">
        <v>61</v>
      </c>
      <c r="U33" s="110"/>
    </row>
    <row r="34" spans="1:21" x14ac:dyDescent="0.35">
      <c r="E34" s="127" t="s">
        <v>1203</v>
      </c>
      <c r="F34" s="192" t="s">
        <v>1202</v>
      </c>
      <c r="G34" s="411"/>
      <c r="T34" s="110" t="s">
        <v>1201</v>
      </c>
      <c r="U34" s="110"/>
    </row>
    <row r="35" spans="1:21" x14ac:dyDescent="0.35">
      <c r="T35" s="110"/>
      <c r="U35" s="110"/>
    </row>
    <row r="37" spans="1:21" s="96" customFormat="1" ht="18.5" x14ac:dyDescent="0.45">
      <c r="A37" s="117"/>
      <c r="B37" s="96" t="s">
        <v>1200</v>
      </c>
      <c r="I37" s="96" t="s">
        <v>855</v>
      </c>
    </row>
    <row r="38" spans="1:21" x14ac:dyDescent="0.35">
      <c r="E38" s="2"/>
    </row>
    <row r="39" spans="1:21" x14ac:dyDescent="0.35">
      <c r="B39" s="478" t="s">
        <v>359</v>
      </c>
      <c r="C39" s="478"/>
      <c r="D39" s="478"/>
      <c r="E39" s="478"/>
      <c r="F39" s="478"/>
      <c r="G39" s="478"/>
      <c r="H39" s="478"/>
      <c r="I39" s="478"/>
    </row>
    <row r="40" spans="1:21" x14ac:dyDescent="0.35">
      <c r="B40" t="s">
        <v>638</v>
      </c>
      <c r="E40" s="2"/>
    </row>
    <row r="41" spans="1:21" x14ac:dyDescent="0.35">
      <c r="B41" t="s">
        <v>639</v>
      </c>
      <c r="E41" s="2"/>
    </row>
    <row r="42" spans="1:21" x14ac:dyDescent="0.35">
      <c r="B42" t="s">
        <v>1199</v>
      </c>
      <c r="E42" s="2"/>
    </row>
    <row r="43" spans="1:21" x14ac:dyDescent="0.35">
      <c r="E43" s="2"/>
    </row>
    <row r="44" spans="1:21" ht="15" thickBot="1" x14ac:dyDescent="0.4">
      <c r="B44" s="477" t="s">
        <v>640</v>
      </c>
      <c r="C44" s="477"/>
      <c r="D44" s="477"/>
      <c r="E44" s="477"/>
      <c r="F44" s="477" t="s">
        <v>641</v>
      </c>
      <c r="G44" s="477"/>
      <c r="H44" s="477"/>
      <c r="I44" s="477"/>
    </row>
    <row r="45" spans="1:21" s="133" customFormat="1" x14ac:dyDescent="0.35">
      <c r="A45"/>
      <c r="B45" s="123" t="s">
        <v>76</v>
      </c>
      <c r="C45" s="191" t="s">
        <v>77</v>
      </c>
      <c r="D45" s="124" t="s">
        <v>43</v>
      </c>
      <c r="F45" s="123" t="s">
        <v>95</v>
      </c>
      <c r="G45" s="191" t="s">
        <v>96</v>
      </c>
      <c r="H45" s="280" t="s">
        <v>643</v>
      </c>
      <c r="I45" s="280" t="s">
        <v>644</v>
      </c>
    </row>
    <row r="46" spans="1:21" x14ac:dyDescent="0.35">
      <c r="B46" s="125" t="s">
        <v>81</v>
      </c>
      <c r="C46" s="21" t="s">
        <v>79</v>
      </c>
      <c r="D46" s="126" t="s">
        <v>83</v>
      </c>
      <c r="F46" s="125" t="s">
        <v>97</v>
      </c>
      <c r="G46" s="21" t="s">
        <v>82</v>
      </c>
      <c r="H46" s="411"/>
      <c r="I46" s="411"/>
      <c r="T46" s="110" t="s">
        <v>79</v>
      </c>
      <c r="U46" s="110" t="s">
        <v>80</v>
      </c>
    </row>
    <row r="47" spans="1:21" x14ac:dyDescent="0.35">
      <c r="B47" s="125" t="s">
        <v>82</v>
      </c>
      <c r="C47" s="21" t="s">
        <v>79</v>
      </c>
      <c r="D47" s="126" t="s">
        <v>80</v>
      </c>
      <c r="F47" s="125" t="s">
        <v>99</v>
      </c>
      <c r="G47" s="21" t="s">
        <v>81</v>
      </c>
      <c r="H47" s="411"/>
      <c r="I47" s="411"/>
      <c r="T47" s="110" t="s">
        <v>79</v>
      </c>
      <c r="U47" s="110" t="s">
        <v>83</v>
      </c>
    </row>
    <row r="48" spans="1:21" x14ac:dyDescent="0.35">
      <c r="B48" s="125" t="s">
        <v>84</v>
      </c>
      <c r="C48" s="21" t="s">
        <v>79</v>
      </c>
      <c r="D48" s="126" t="s">
        <v>85</v>
      </c>
      <c r="F48" s="125" t="s">
        <v>100</v>
      </c>
      <c r="G48" s="21" t="s">
        <v>87</v>
      </c>
      <c r="H48" s="411"/>
      <c r="I48" s="411"/>
      <c r="T48" s="110" t="s">
        <v>86</v>
      </c>
      <c r="U48" s="110" t="s">
        <v>94</v>
      </c>
    </row>
    <row r="49" spans="1:21" x14ac:dyDescent="0.35">
      <c r="B49" s="125" t="s">
        <v>88</v>
      </c>
      <c r="C49" s="21" t="s">
        <v>89</v>
      </c>
      <c r="D49" s="126" t="s">
        <v>90</v>
      </c>
      <c r="F49" s="125" t="s">
        <v>102</v>
      </c>
      <c r="G49" s="21" t="s">
        <v>84</v>
      </c>
      <c r="H49" s="411"/>
      <c r="I49" s="411"/>
      <c r="T49" s="110" t="s">
        <v>79</v>
      </c>
      <c r="U49" s="110" t="s">
        <v>85</v>
      </c>
    </row>
    <row r="50" spans="1:21" x14ac:dyDescent="0.35">
      <c r="B50" s="125" t="s">
        <v>87</v>
      </c>
      <c r="C50" s="21" t="s">
        <v>86</v>
      </c>
      <c r="D50" s="126" t="s">
        <v>94</v>
      </c>
      <c r="F50" s="125" t="s">
        <v>103</v>
      </c>
      <c r="G50" s="21" t="s">
        <v>84</v>
      </c>
      <c r="H50" s="411"/>
      <c r="I50" s="411"/>
      <c r="T50" s="110" t="s">
        <v>79</v>
      </c>
      <c r="U50" s="110" t="s">
        <v>85</v>
      </c>
    </row>
    <row r="51" spans="1:21" x14ac:dyDescent="0.35">
      <c r="B51" s="125" t="s">
        <v>91</v>
      </c>
      <c r="C51" s="21" t="s">
        <v>92</v>
      </c>
      <c r="D51" s="126" t="s">
        <v>93</v>
      </c>
      <c r="F51" s="125" t="s">
        <v>172</v>
      </c>
      <c r="G51" s="21" t="s">
        <v>173</v>
      </c>
      <c r="H51" s="411"/>
      <c r="I51" s="411"/>
      <c r="T51" s="110" t="s">
        <v>79</v>
      </c>
      <c r="U51" s="110" t="s">
        <v>175</v>
      </c>
    </row>
    <row r="52" spans="1:21" x14ac:dyDescent="0.35">
      <c r="B52" s="127" t="s">
        <v>173</v>
      </c>
      <c r="C52" s="192" t="s">
        <v>79</v>
      </c>
      <c r="D52" s="128" t="s">
        <v>175</v>
      </c>
      <c r="F52" s="125" t="s">
        <v>104</v>
      </c>
      <c r="G52" s="21" t="s">
        <v>88</v>
      </c>
      <c r="H52" s="411"/>
      <c r="I52" s="411"/>
      <c r="T52" s="110" t="s">
        <v>89</v>
      </c>
      <c r="U52" s="110" t="s">
        <v>90</v>
      </c>
    </row>
    <row r="53" spans="1:21" x14ac:dyDescent="0.35">
      <c r="F53" s="125" t="s">
        <v>174</v>
      </c>
      <c r="G53" s="21" t="s">
        <v>173</v>
      </c>
      <c r="H53" s="411"/>
      <c r="I53" s="411"/>
      <c r="T53" s="110" t="s">
        <v>79</v>
      </c>
      <c r="U53" s="110" t="s">
        <v>175</v>
      </c>
    </row>
    <row r="54" spans="1:21" x14ac:dyDescent="0.35">
      <c r="F54" s="125" t="s">
        <v>98</v>
      </c>
      <c r="G54" s="21" t="s">
        <v>82</v>
      </c>
      <c r="H54" s="411"/>
      <c r="I54" s="411"/>
      <c r="T54" s="110" t="s">
        <v>79</v>
      </c>
      <c r="U54" s="110" t="s">
        <v>80</v>
      </c>
    </row>
    <row r="55" spans="1:21" x14ac:dyDescent="0.35">
      <c r="F55" s="125" t="s">
        <v>105</v>
      </c>
      <c r="G55" s="21" t="s">
        <v>88</v>
      </c>
      <c r="H55" s="411"/>
      <c r="I55" s="411"/>
      <c r="T55" s="110" t="s">
        <v>89</v>
      </c>
      <c r="U55" s="110" t="s">
        <v>90</v>
      </c>
    </row>
    <row r="56" spans="1:21" x14ac:dyDescent="0.35">
      <c r="F56" s="125" t="s">
        <v>101</v>
      </c>
      <c r="G56" s="21" t="s">
        <v>84</v>
      </c>
      <c r="H56" s="411"/>
      <c r="I56" s="411"/>
      <c r="T56" s="110" t="s">
        <v>79</v>
      </c>
      <c r="U56" s="110" t="s">
        <v>85</v>
      </c>
    </row>
    <row r="57" spans="1:21" x14ac:dyDescent="0.35">
      <c r="F57" s="127" t="s">
        <v>106</v>
      </c>
      <c r="G57" s="192" t="s">
        <v>91</v>
      </c>
      <c r="H57" s="411"/>
      <c r="I57" s="411"/>
      <c r="T57" s="110" t="s">
        <v>92</v>
      </c>
      <c r="U57" s="110" t="s">
        <v>93</v>
      </c>
    </row>
    <row r="59" spans="1:21" s="96" customFormat="1" ht="18.5" x14ac:dyDescent="0.45">
      <c r="A59" s="117"/>
      <c r="B59" s="96" t="s">
        <v>1198</v>
      </c>
      <c r="I59" s="96" t="s">
        <v>855</v>
      </c>
    </row>
    <row r="60" spans="1:21" x14ac:dyDescent="0.35">
      <c r="E60" s="2"/>
    </row>
    <row r="61" spans="1:21" x14ac:dyDescent="0.35">
      <c r="B61" s="478" t="s">
        <v>359</v>
      </c>
      <c r="C61" s="478"/>
      <c r="D61" s="478"/>
      <c r="E61" s="478"/>
      <c r="F61" s="478"/>
      <c r="G61" s="478"/>
      <c r="H61" s="478"/>
      <c r="I61" s="478"/>
    </row>
    <row r="62" spans="1:21" x14ac:dyDescent="0.35">
      <c r="B62" t="s">
        <v>1197</v>
      </c>
      <c r="E62" s="2"/>
    </row>
    <row r="63" spans="1:21" x14ac:dyDescent="0.35">
      <c r="B63" t="s">
        <v>1196</v>
      </c>
      <c r="E63" s="2"/>
    </row>
    <row r="64" spans="1:21" x14ac:dyDescent="0.35">
      <c r="E64" s="2"/>
    </row>
    <row r="65" spans="1:21" ht="15" thickBot="1" x14ac:dyDescent="0.4">
      <c r="B65" s="477" t="s">
        <v>1195</v>
      </c>
      <c r="C65" s="477"/>
      <c r="D65" s="477"/>
      <c r="E65" s="477" t="s">
        <v>1194</v>
      </c>
      <c r="F65" s="477"/>
      <c r="G65" s="477"/>
      <c r="H65" s="477"/>
      <c r="I65" s="477"/>
    </row>
    <row r="66" spans="1:21" s="133" customFormat="1" x14ac:dyDescent="0.35">
      <c r="A66"/>
      <c r="B66" s="123" t="s">
        <v>1193</v>
      </c>
      <c r="C66" s="124" t="s">
        <v>1192</v>
      </c>
      <c r="E66" s="123" t="s">
        <v>1181</v>
      </c>
      <c r="F66" s="191" t="s">
        <v>1191</v>
      </c>
      <c r="G66" s="124" t="s">
        <v>1167</v>
      </c>
    </row>
    <row r="67" spans="1:21" x14ac:dyDescent="0.35">
      <c r="B67" s="125" t="s">
        <v>1169</v>
      </c>
      <c r="C67" s="436">
        <v>300</v>
      </c>
      <c r="E67" s="125">
        <v>1</v>
      </c>
      <c r="F67" s="21" t="s">
        <v>1190</v>
      </c>
      <c r="G67" s="126" t="s">
        <v>1163</v>
      </c>
      <c r="T67" s="110"/>
      <c r="U67" s="110"/>
    </row>
    <row r="68" spans="1:21" x14ac:dyDescent="0.35">
      <c r="B68" s="125" t="s">
        <v>1174</v>
      </c>
      <c r="C68" s="436">
        <v>20</v>
      </c>
      <c r="E68" s="125">
        <v>2</v>
      </c>
      <c r="F68" s="21" t="s">
        <v>1189</v>
      </c>
      <c r="G68" s="126" t="s">
        <v>1162</v>
      </c>
      <c r="T68" s="110"/>
      <c r="U68" s="110"/>
    </row>
    <row r="69" spans="1:21" x14ac:dyDescent="0.35">
      <c r="B69" s="125" t="s">
        <v>1173</v>
      </c>
      <c r="C69" s="436">
        <v>50</v>
      </c>
      <c r="E69" s="125">
        <v>3</v>
      </c>
      <c r="F69" s="21" t="s">
        <v>1188</v>
      </c>
      <c r="G69" s="126" t="s">
        <v>1165</v>
      </c>
      <c r="T69" s="110"/>
      <c r="U69" s="110"/>
    </row>
    <row r="70" spans="1:21" x14ac:dyDescent="0.35">
      <c r="B70" s="125" t="s">
        <v>1171</v>
      </c>
      <c r="C70" s="436">
        <v>82500</v>
      </c>
      <c r="E70" s="125">
        <v>4</v>
      </c>
      <c r="F70" s="21" t="s">
        <v>1187</v>
      </c>
      <c r="G70" s="126" t="s">
        <v>1160</v>
      </c>
      <c r="T70" s="110"/>
      <c r="U70" s="110"/>
    </row>
    <row r="71" spans="1:21" x14ac:dyDescent="0.35">
      <c r="B71" s="125" t="s">
        <v>1170</v>
      </c>
      <c r="C71" s="436">
        <v>500</v>
      </c>
      <c r="E71" s="125">
        <v>5</v>
      </c>
      <c r="F71" s="21" t="s">
        <v>1186</v>
      </c>
      <c r="G71" s="126" t="s">
        <v>1161</v>
      </c>
      <c r="T71" s="110"/>
      <c r="U71" s="110"/>
    </row>
    <row r="72" spans="1:21" x14ac:dyDescent="0.35">
      <c r="B72" s="125" t="s">
        <v>1175</v>
      </c>
      <c r="C72" s="436">
        <v>1000</v>
      </c>
      <c r="E72" s="125">
        <v>6</v>
      </c>
      <c r="F72" s="21" t="s">
        <v>1185</v>
      </c>
      <c r="G72" s="126" t="s">
        <v>1164</v>
      </c>
      <c r="T72" s="110"/>
      <c r="U72" s="110"/>
    </row>
    <row r="73" spans="1:21" x14ac:dyDescent="0.35">
      <c r="B73" s="125" t="s">
        <v>1172</v>
      </c>
      <c r="C73" s="436">
        <v>800</v>
      </c>
      <c r="E73" s="127">
        <v>7</v>
      </c>
      <c r="F73" s="192" t="s">
        <v>1184</v>
      </c>
      <c r="G73" s="128" t="s">
        <v>1159</v>
      </c>
      <c r="T73" s="110"/>
      <c r="U73" s="110"/>
    </row>
    <row r="74" spans="1:21" x14ac:dyDescent="0.35">
      <c r="B74" s="125" t="s">
        <v>1183</v>
      </c>
      <c r="C74" s="436">
        <v>800000</v>
      </c>
      <c r="T74" s="110"/>
      <c r="U74" s="110"/>
    </row>
    <row r="75" spans="1:21" x14ac:dyDescent="0.35">
      <c r="B75" s="127" t="s">
        <v>1182</v>
      </c>
      <c r="C75" s="435">
        <v>60</v>
      </c>
      <c r="T75" s="110"/>
      <c r="U75" s="110"/>
    </row>
    <row r="76" spans="1:21" x14ac:dyDescent="0.35">
      <c r="T76" s="110"/>
      <c r="U76" s="110"/>
    </row>
    <row r="77" spans="1:21" ht="15" thickBot="1" x14ac:dyDescent="0.4">
      <c r="B77" s="477" t="s">
        <v>641</v>
      </c>
      <c r="C77" s="477"/>
      <c r="D77" s="477"/>
      <c r="E77" s="477"/>
      <c r="F77" s="477"/>
      <c r="G77" s="477"/>
      <c r="H77" s="477"/>
      <c r="I77" s="477"/>
    </row>
    <row r="78" spans="1:21" x14ac:dyDescent="0.35">
      <c r="T78" s="110"/>
      <c r="U78" s="110"/>
    </row>
    <row r="79" spans="1:21" x14ac:dyDescent="0.35">
      <c r="B79" s="123" t="s">
        <v>1181</v>
      </c>
      <c r="C79" s="191" t="s">
        <v>1180</v>
      </c>
      <c r="D79" s="191" t="s">
        <v>1179</v>
      </c>
      <c r="E79" s="448" t="s">
        <v>1178</v>
      </c>
      <c r="F79" s="448" t="s">
        <v>1177</v>
      </c>
      <c r="G79" s="124" t="s">
        <v>1176</v>
      </c>
      <c r="T79" s="110"/>
      <c r="U79" s="110"/>
    </row>
    <row r="80" spans="1:21" x14ac:dyDescent="0.35">
      <c r="B80" s="125">
        <v>6</v>
      </c>
      <c r="C80" s="21" t="s">
        <v>1172</v>
      </c>
      <c r="D80" s="21">
        <v>1</v>
      </c>
      <c r="E80" s="447"/>
      <c r="F80" s="411"/>
      <c r="G80" s="436">
        <f t="shared" ref="G80:G90" si="0">D80*E80</f>
        <v>0</v>
      </c>
      <c r="T80" s="446">
        <v>800</v>
      </c>
      <c r="U80" s="88" t="s">
        <v>1164</v>
      </c>
    </row>
    <row r="81" spans="2:21" x14ac:dyDescent="0.35">
      <c r="B81" s="125">
        <v>3</v>
      </c>
      <c r="C81" s="21" t="s">
        <v>1169</v>
      </c>
      <c r="D81" s="21">
        <v>2</v>
      </c>
      <c r="E81" s="447"/>
      <c r="F81" s="411"/>
      <c r="G81" s="436">
        <f t="shared" si="0"/>
        <v>0</v>
      </c>
      <c r="T81" s="446">
        <v>300</v>
      </c>
      <c r="U81" s="88" t="s">
        <v>1165</v>
      </c>
    </row>
    <row r="82" spans="2:21" x14ac:dyDescent="0.35">
      <c r="B82" s="125">
        <v>3</v>
      </c>
      <c r="C82" s="21" t="s">
        <v>1174</v>
      </c>
      <c r="D82" s="21">
        <v>5</v>
      </c>
      <c r="E82" s="447"/>
      <c r="F82" s="411"/>
      <c r="G82" s="436">
        <f t="shared" si="0"/>
        <v>0</v>
      </c>
      <c r="T82" s="446">
        <v>20</v>
      </c>
      <c r="U82" s="88" t="s">
        <v>1165</v>
      </c>
    </row>
    <row r="83" spans="2:21" x14ac:dyDescent="0.35">
      <c r="B83" s="125">
        <v>6</v>
      </c>
      <c r="C83" s="21" t="s">
        <v>1175</v>
      </c>
      <c r="D83" s="21">
        <v>10</v>
      </c>
      <c r="E83" s="447"/>
      <c r="F83" s="411"/>
      <c r="G83" s="436">
        <f t="shared" si="0"/>
        <v>0</v>
      </c>
      <c r="T83" s="446">
        <v>1000</v>
      </c>
      <c r="U83" s="88" t="s">
        <v>1164</v>
      </c>
    </row>
    <row r="84" spans="2:21" x14ac:dyDescent="0.35">
      <c r="B84" s="125">
        <v>2</v>
      </c>
      <c r="C84" s="21" t="s">
        <v>1169</v>
      </c>
      <c r="D84" s="21">
        <v>5</v>
      </c>
      <c r="E84" s="447"/>
      <c r="F84" s="411"/>
      <c r="G84" s="436">
        <f t="shared" si="0"/>
        <v>0</v>
      </c>
      <c r="T84" s="446">
        <v>300</v>
      </c>
      <c r="U84" s="88" t="s">
        <v>1162</v>
      </c>
    </row>
    <row r="85" spans="2:21" x14ac:dyDescent="0.35">
      <c r="B85" s="125">
        <v>2</v>
      </c>
      <c r="C85" s="21" t="s">
        <v>1174</v>
      </c>
      <c r="D85" s="21">
        <v>10</v>
      </c>
      <c r="E85" s="447"/>
      <c r="F85" s="411"/>
      <c r="G85" s="436">
        <f t="shared" si="0"/>
        <v>0</v>
      </c>
      <c r="T85" s="446">
        <v>20</v>
      </c>
      <c r="U85" s="88" t="s">
        <v>1162</v>
      </c>
    </row>
    <row r="86" spans="2:21" x14ac:dyDescent="0.35">
      <c r="B86" s="125">
        <v>7</v>
      </c>
      <c r="C86" s="21" t="s">
        <v>1173</v>
      </c>
      <c r="D86" s="21">
        <v>1</v>
      </c>
      <c r="E86" s="447"/>
      <c r="F86" s="411"/>
      <c r="G86" s="436">
        <f t="shared" si="0"/>
        <v>0</v>
      </c>
      <c r="T86" s="446">
        <v>50</v>
      </c>
      <c r="U86" s="88" t="s">
        <v>1159</v>
      </c>
    </row>
    <row r="87" spans="2:21" x14ac:dyDescent="0.35">
      <c r="B87" s="125">
        <v>2</v>
      </c>
      <c r="C87" s="21" t="s">
        <v>1172</v>
      </c>
      <c r="D87" s="21">
        <v>5</v>
      </c>
      <c r="E87" s="447"/>
      <c r="F87" s="411"/>
      <c r="G87" s="436">
        <f t="shared" si="0"/>
        <v>0</v>
      </c>
      <c r="T87" s="446">
        <v>800</v>
      </c>
      <c r="U87" s="88" t="s">
        <v>1162</v>
      </c>
    </row>
    <row r="88" spans="2:21" x14ac:dyDescent="0.35">
      <c r="B88" s="125">
        <v>2</v>
      </c>
      <c r="C88" s="21" t="s">
        <v>1171</v>
      </c>
      <c r="D88" s="21">
        <v>1</v>
      </c>
      <c r="E88" s="447"/>
      <c r="F88" s="411"/>
      <c r="G88" s="436">
        <f t="shared" si="0"/>
        <v>0</v>
      </c>
      <c r="T88" s="446">
        <v>82500</v>
      </c>
      <c r="U88" s="88" t="s">
        <v>1162</v>
      </c>
    </row>
    <row r="89" spans="2:21" x14ac:dyDescent="0.35">
      <c r="B89" s="125">
        <v>2</v>
      </c>
      <c r="C89" s="21" t="s">
        <v>1170</v>
      </c>
      <c r="D89" s="21">
        <v>50</v>
      </c>
      <c r="E89" s="447"/>
      <c r="F89" s="411"/>
      <c r="G89" s="436">
        <f t="shared" si="0"/>
        <v>0</v>
      </c>
      <c r="T89" s="446">
        <v>500</v>
      </c>
      <c r="U89" s="88" t="s">
        <v>1162</v>
      </c>
    </row>
    <row r="90" spans="2:21" x14ac:dyDescent="0.35">
      <c r="B90" s="127">
        <v>4</v>
      </c>
      <c r="C90" s="192" t="s">
        <v>1169</v>
      </c>
      <c r="D90" s="192">
        <v>2</v>
      </c>
      <c r="E90" s="447"/>
      <c r="F90" s="411"/>
      <c r="G90" s="435">
        <f t="shared" si="0"/>
        <v>0</v>
      </c>
      <c r="T90" s="446">
        <v>300</v>
      </c>
      <c r="U90" s="88" t="s">
        <v>1160</v>
      </c>
    </row>
    <row r="92" spans="2:21" ht="15" thickBot="1" x14ac:dyDescent="0.4">
      <c r="B92" s="477" t="s">
        <v>1168</v>
      </c>
      <c r="C92" s="477"/>
      <c r="D92" s="477"/>
      <c r="E92" s="477"/>
      <c r="F92" s="477"/>
      <c r="G92" s="477"/>
      <c r="H92" s="477"/>
      <c r="I92" s="477"/>
    </row>
    <row r="93" spans="2:21" x14ac:dyDescent="0.35">
      <c r="T93" s="110"/>
      <c r="U93" s="110"/>
    </row>
    <row r="94" spans="2:21" x14ac:dyDescent="0.35">
      <c r="B94" s="123" t="s">
        <v>1167</v>
      </c>
      <c r="C94" s="124" t="s">
        <v>1166</v>
      </c>
    </row>
    <row r="95" spans="2:21" x14ac:dyDescent="0.35">
      <c r="B95" s="125" t="s">
        <v>1165</v>
      </c>
      <c r="C95" s="436">
        <f t="shared" ref="C95:C101" si="1">SUMIFS($G$80:$G$90,$F$80:$F$90,B95)</f>
        <v>0</v>
      </c>
      <c r="D95" s="1"/>
    </row>
    <row r="96" spans="2:21" x14ac:dyDescent="0.35">
      <c r="B96" s="125" t="s">
        <v>1164</v>
      </c>
      <c r="C96" s="436">
        <f t="shared" si="1"/>
        <v>0</v>
      </c>
    </row>
    <row r="97" spans="1:21" x14ac:dyDescent="0.35">
      <c r="B97" s="125" t="s">
        <v>1163</v>
      </c>
      <c r="C97" s="436">
        <f t="shared" si="1"/>
        <v>0</v>
      </c>
    </row>
    <row r="98" spans="1:21" x14ac:dyDescent="0.35">
      <c r="B98" s="125" t="s">
        <v>1162</v>
      </c>
      <c r="C98" s="436">
        <f t="shared" si="1"/>
        <v>0</v>
      </c>
    </row>
    <row r="99" spans="1:21" x14ac:dyDescent="0.35">
      <c r="B99" s="125" t="s">
        <v>1161</v>
      </c>
      <c r="C99" s="436">
        <f t="shared" si="1"/>
        <v>0</v>
      </c>
    </row>
    <row r="100" spans="1:21" x14ac:dyDescent="0.35">
      <c r="B100" s="125" t="s">
        <v>1160</v>
      </c>
      <c r="C100" s="436">
        <f t="shared" si="1"/>
        <v>0</v>
      </c>
    </row>
    <row r="101" spans="1:21" x14ac:dyDescent="0.35">
      <c r="B101" s="127" t="s">
        <v>1159</v>
      </c>
      <c r="C101" s="435">
        <f t="shared" si="1"/>
        <v>0</v>
      </c>
    </row>
    <row r="103" spans="1:21" s="96" customFormat="1" ht="18.5" x14ac:dyDescent="0.45">
      <c r="A103" s="117"/>
      <c r="B103" s="96" t="s">
        <v>1158</v>
      </c>
      <c r="I103" s="96" t="s">
        <v>855</v>
      </c>
    </row>
    <row r="104" spans="1:21" x14ac:dyDescent="0.35">
      <c r="E104" s="2"/>
    </row>
    <row r="105" spans="1:21" x14ac:dyDescent="0.35">
      <c r="B105" s="478" t="s">
        <v>359</v>
      </c>
      <c r="C105" s="478"/>
      <c r="D105" s="478"/>
      <c r="E105" s="478"/>
      <c r="F105" s="478"/>
      <c r="G105" s="478"/>
      <c r="H105" s="478"/>
      <c r="I105" s="478"/>
    </row>
    <row r="106" spans="1:21" x14ac:dyDescent="0.35">
      <c r="B106" t="s">
        <v>1157</v>
      </c>
      <c r="E106" s="2"/>
    </row>
    <row r="107" spans="1:21" x14ac:dyDescent="0.35">
      <c r="B107" s="438" t="s">
        <v>1156</v>
      </c>
      <c r="E107" s="2"/>
    </row>
    <row r="108" spans="1:21" x14ac:dyDescent="0.35">
      <c r="E108" s="2"/>
    </row>
    <row r="109" spans="1:21" ht="15" thickBot="1" x14ac:dyDescent="0.4">
      <c r="B109" s="477" t="s">
        <v>640</v>
      </c>
      <c r="C109" s="477"/>
      <c r="D109" s="477"/>
      <c r="E109" s="477" t="s">
        <v>641</v>
      </c>
      <c r="F109" s="477"/>
      <c r="G109" s="477"/>
      <c r="H109" s="477"/>
      <c r="I109" s="477"/>
    </row>
    <row r="110" spans="1:21" s="133" customFormat="1" ht="15" thickBot="1" x14ac:dyDescent="0.4">
      <c r="A110"/>
      <c r="B110" s="445" t="s">
        <v>1154</v>
      </c>
      <c r="C110" s="444"/>
      <c r="E110" s="123" t="s">
        <v>1155</v>
      </c>
      <c r="F110" s="443" t="s">
        <v>1154</v>
      </c>
    </row>
    <row r="111" spans="1:21" ht="15" thickBot="1" x14ac:dyDescent="0.4">
      <c r="B111" s="440" t="s">
        <v>1153</v>
      </c>
      <c r="C111" s="71"/>
      <c r="E111" s="125" t="s">
        <v>1152</v>
      </c>
      <c r="F111" s="442"/>
      <c r="T111" s="110" t="s">
        <v>1135</v>
      </c>
      <c r="U111" s="110"/>
    </row>
    <row r="112" spans="1:21" ht="15" thickBot="1" x14ac:dyDescent="0.4">
      <c r="B112" s="440" t="s">
        <v>1151</v>
      </c>
      <c r="C112" s="71"/>
      <c r="E112" s="125" t="s">
        <v>1150</v>
      </c>
      <c r="F112" s="441"/>
      <c r="T112" s="110" t="s">
        <v>1121</v>
      </c>
      <c r="U112" s="110"/>
    </row>
    <row r="113" spans="2:21" ht="15" thickBot="1" x14ac:dyDescent="0.4">
      <c r="B113" s="440" t="s">
        <v>1149</v>
      </c>
      <c r="C113" s="71"/>
      <c r="E113" s="125" t="s">
        <v>1148</v>
      </c>
      <c r="F113" s="441"/>
      <c r="T113" s="110" t="s">
        <v>1124</v>
      </c>
      <c r="U113" s="110"/>
    </row>
    <row r="114" spans="2:21" ht="15" thickBot="1" x14ac:dyDescent="0.4">
      <c r="B114" s="440" t="s">
        <v>1147</v>
      </c>
      <c r="C114" s="71"/>
      <c r="E114" s="125" t="s">
        <v>1146</v>
      </c>
      <c r="F114" s="441"/>
      <c r="T114" s="110" t="s">
        <v>1142</v>
      </c>
      <c r="U114" s="110"/>
    </row>
    <row r="115" spans="2:21" ht="15" thickBot="1" x14ac:dyDescent="0.4">
      <c r="B115" s="440" t="s">
        <v>1145</v>
      </c>
      <c r="C115" s="71"/>
      <c r="E115" s="125" t="s">
        <v>1144</v>
      </c>
      <c r="F115" s="441"/>
      <c r="T115" s="110" t="s">
        <v>1131</v>
      </c>
      <c r="U115" s="110"/>
    </row>
    <row r="116" spans="2:21" ht="15" thickBot="1" x14ac:dyDescent="0.4">
      <c r="B116" s="440" t="s">
        <v>1139</v>
      </c>
      <c r="C116" s="71"/>
      <c r="E116" s="125" t="s">
        <v>1143</v>
      </c>
      <c r="F116" s="441"/>
      <c r="T116" s="110" t="s">
        <v>1125</v>
      </c>
      <c r="U116" s="110"/>
    </row>
    <row r="117" spans="2:21" ht="15" thickBot="1" x14ac:dyDescent="0.4">
      <c r="B117" s="440" t="s">
        <v>1142</v>
      </c>
      <c r="C117" s="71"/>
      <c r="E117" s="125" t="s">
        <v>1133</v>
      </c>
      <c r="F117" s="441"/>
      <c r="T117" s="110" t="s">
        <v>1133</v>
      </c>
      <c r="U117" s="110"/>
    </row>
    <row r="118" spans="2:21" ht="15" thickBot="1" x14ac:dyDescent="0.4">
      <c r="B118" s="440" t="s">
        <v>1141</v>
      </c>
      <c r="C118" s="71"/>
      <c r="E118" s="125" t="s">
        <v>1140</v>
      </c>
      <c r="F118" s="441"/>
      <c r="T118" s="110" t="s">
        <v>1139</v>
      </c>
    </row>
    <row r="119" spans="2:21" ht="15" thickBot="1" x14ac:dyDescent="0.4">
      <c r="B119" s="440" t="s">
        <v>1138</v>
      </c>
      <c r="C119" s="71"/>
      <c r="E119" s="127" t="s">
        <v>1137</v>
      </c>
      <c r="F119" s="441"/>
      <c r="T119" s="110" t="s">
        <v>1126</v>
      </c>
    </row>
    <row r="120" spans="2:21" x14ac:dyDescent="0.35">
      <c r="B120" s="440" t="s">
        <v>1136</v>
      </c>
      <c r="C120" s="71"/>
    </row>
    <row r="121" spans="2:21" x14ac:dyDescent="0.35">
      <c r="B121" s="440" t="s">
        <v>1135</v>
      </c>
      <c r="C121" s="71"/>
    </row>
    <row r="122" spans="2:21" x14ac:dyDescent="0.35">
      <c r="B122" s="440" t="s">
        <v>1134</v>
      </c>
      <c r="C122" s="71"/>
    </row>
    <row r="123" spans="2:21" x14ac:dyDescent="0.35">
      <c r="B123" s="440" t="s">
        <v>1133</v>
      </c>
      <c r="C123" s="71"/>
    </row>
    <row r="124" spans="2:21" x14ac:dyDescent="0.35">
      <c r="B124" s="440" t="s">
        <v>1132</v>
      </c>
      <c r="C124" s="71"/>
    </row>
    <row r="125" spans="2:21" x14ac:dyDescent="0.35">
      <c r="B125" s="440" t="s">
        <v>1131</v>
      </c>
      <c r="C125" s="71"/>
    </row>
    <row r="126" spans="2:21" x14ac:dyDescent="0.35">
      <c r="B126" s="440" t="s">
        <v>1130</v>
      </c>
      <c r="C126" s="71"/>
    </row>
    <row r="127" spans="2:21" x14ac:dyDescent="0.35">
      <c r="B127" s="440" t="s">
        <v>1129</v>
      </c>
      <c r="C127" s="71"/>
    </row>
    <row r="128" spans="2:21" x14ac:dyDescent="0.35">
      <c r="B128" s="440" t="s">
        <v>1128</v>
      </c>
      <c r="C128" s="71"/>
    </row>
    <row r="129" spans="1:9" x14ac:dyDescent="0.35">
      <c r="B129" s="440" t="s">
        <v>1127</v>
      </c>
      <c r="C129" s="71"/>
    </row>
    <row r="130" spans="1:9" x14ac:dyDescent="0.35">
      <c r="B130" s="440" t="s">
        <v>1126</v>
      </c>
      <c r="C130" s="71"/>
    </row>
    <row r="131" spans="1:9" x14ac:dyDescent="0.35">
      <c r="B131" s="440" t="s">
        <v>1125</v>
      </c>
      <c r="C131" s="71"/>
    </row>
    <row r="132" spans="1:9" x14ac:dyDescent="0.35">
      <c r="B132" s="440" t="s">
        <v>1124</v>
      </c>
      <c r="C132" s="71"/>
    </row>
    <row r="133" spans="1:9" x14ac:dyDescent="0.35">
      <c r="B133" s="440" t="s">
        <v>1123</v>
      </c>
      <c r="C133" s="71"/>
    </row>
    <row r="134" spans="1:9" x14ac:dyDescent="0.35">
      <c r="B134" s="440" t="s">
        <v>1122</v>
      </c>
      <c r="C134" s="71"/>
    </row>
    <row r="135" spans="1:9" x14ac:dyDescent="0.35">
      <c r="B135" s="440" t="s">
        <v>1121</v>
      </c>
      <c r="C135" s="71"/>
    </row>
    <row r="136" spans="1:9" x14ac:dyDescent="0.35">
      <c r="B136" s="439" t="s">
        <v>1120</v>
      </c>
      <c r="C136" s="73"/>
    </row>
    <row r="138" spans="1:9" s="96" customFormat="1" ht="18.5" x14ac:dyDescent="0.45">
      <c r="A138" s="117"/>
      <c r="B138" s="96" t="s">
        <v>1119</v>
      </c>
      <c r="I138" s="96" t="s">
        <v>855</v>
      </c>
    </row>
    <row r="139" spans="1:9" x14ac:dyDescent="0.35">
      <c r="E139" s="2"/>
    </row>
    <row r="140" spans="1:9" x14ac:dyDescent="0.35">
      <c r="B140" s="478" t="s">
        <v>359</v>
      </c>
      <c r="C140" s="478"/>
      <c r="D140" s="478"/>
      <c r="E140" s="478"/>
      <c r="F140" s="478"/>
      <c r="G140" s="478"/>
      <c r="H140" s="478"/>
      <c r="I140" s="478"/>
    </row>
    <row r="141" spans="1:9" x14ac:dyDescent="0.35">
      <c r="B141" t="s">
        <v>1118</v>
      </c>
      <c r="E141" s="2"/>
    </row>
    <row r="142" spans="1:9" x14ac:dyDescent="0.35">
      <c r="B142" t="s">
        <v>1117</v>
      </c>
      <c r="E142" s="2"/>
    </row>
    <row r="143" spans="1:9" x14ac:dyDescent="0.35">
      <c r="B143" s="438" t="s">
        <v>1116</v>
      </c>
      <c r="E143" s="2"/>
    </row>
    <row r="144" spans="1:9" x14ac:dyDescent="0.35">
      <c r="B144" s="1" t="s">
        <v>1115</v>
      </c>
      <c r="E144" s="2"/>
    </row>
    <row r="145" spans="1:21" x14ac:dyDescent="0.35">
      <c r="E145" s="2"/>
    </row>
    <row r="146" spans="1:21" ht="15" thickBot="1" x14ac:dyDescent="0.4">
      <c r="B146" s="477" t="s">
        <v>640</v>
      </c>
      <c r="C146" s="477"/>
      <c r="D146" s="477"/>
      <c r="E146" s="477"/>
      <c r="F146" s="477" t="s">
        <v>641</v>
      </c>
      <c r="G146" s="477"/>
      <c r="H146" s="477"/>
      <c r="I146" s="477"/>
    </row>
    <row r="147" spans="1:21" s="133" customFormat="1" x14ac:dyDescent="0.35">
      <c r="A147"/>
      <c r="B147" s="123" t="s">
        <v>1114</v>
      </c>
      <c r="C147" s="191" t="s">
        <v>1113</v>
      </c>
      <c r="D147" s="124" t="s">
        <v>38</v>
      </c>
      <c r="F147" s="123" t="s">
        <v>1114</v>
      </c>
      <c r="G147" s="191" t="s">
        <v>1113</v>
      </c>
      <c r="H147" s="280" t="s">
        <v>1112</v>
      </c>
    </row>
    <row r="148" spans="1:21" x14ac:dyDescent="0.35">
      <c r="B148" s="125" t="s">
        <v>1111</v>
      </c>
      <c r="C148" s="21" t="s">
        <v>1108</v>
      </c>
      <c r="D148" s="436">
        <v>2</v>
      </c>
      <c r="F148" s="411"/>
      <c r="G148" s="411"/>
      <c r="H148" s="437"/>
      <c r="T148" s="110"/>
      <c r="U148" s="110"/>
    </row>
    <row r="149" spans="1:21" x14ac:dyDescent="0.35">
      <c r="B149" s="125" t="s">
        <v>1111</v>
      </c>
      <c r="C149" s="21" t="s">
        <v>115</v>
      </c>
      <c r="D149" s="436">
        <v>3</v>
      </c>
      <c r="F149" s="21"/>
      <c r="G149" s="21"/>
      <c r="H149" s="21"/>
      <c r="T149" s="110"/>
      <c r="U149" s="110"/>
    </row>
    <row r="150" spans="1:21" x14ac:dyDescent="0.35">
      <c r="B150" s="125" t="s">
        <v>1109</v>
      </c>
      <c r="C150" s="21" t="s">
        <v>118</v>
      </c>
      <c r="D150" s="436">
        <v>1</v>
      </c>
      <c r="F150" s="21"/>
      <c r="G150" s="21"/>
      <c r="H150" s="21"/>
      <c r="T150" s="110"/>
      <c r="U150" s="110"/>
    </row>
    <row r="151" spans="1:21" x14ac:dyDescent="0.35">
      <c r="B151" s="125" t="s">
        <v>1109</v>
      </c>
      <c r="C151" s="21" t="s">
        <v>1110</v>
      </c>
      <c r="D151" s="436">
        <v>0.5</v>
      </c>
      <c r="F151" s="21"/>
      <c r="G151" s="21"/>
      <c r="H151" s="21"/>
      <c r="T151" s="110"/>
      <c r="U151" s="110"/>
    </row>
    <row r="152" spans="1:21" x14ac:dyDescent="0.35">
      <c r="B152" s="125" t="s">
        <v>1109</v>
      </c>
      <c r="C152" s="21" t="s">
        <v>1108</v>
      </c>
      <c r="D152" s="436">
        <v>1</v>
      </c>
      <c r="F152" s="21"/>
      <c r="G152" s="21"/>
      <c r="H152" s="21"/>
      <c r="T152" s="110"/>
      <c r="U152" s="110"/>
    </row>
    <row r="153" spans="1:21" x14ac:dyDescent="0.35">
      <c r="B153" s="125" t="s">
        <v>1107</v>
      </c>
      <c r="C153" s="21" t="s">
        <v>119</v>
      </c>
      <c r="D153" s="436">
        <v>0.25</v>
      </c>
      <c r="F153" s="21"/>
      <c r="G153" s="21"/>
      <c r="H153" s="21"/>
      <c r="T153" s="110"/>
      <c r="U153" s="110"/>
    </row>
    <row r="154" spans="1:21" x14ac:dyDescent="0.35">
      <c r="B154" s="127" t="s">
        <v>1107</v>
      </c>
      <c r="C154" s="192" t="s">
        <v>1107</v>
      </c>
      <c r="D154" s="435">
        <v>4</v>
      </c>
      <c r="F154" s="21"/>
      <c r="G154" s="21"/>
      <c r="H154" s="21"/>
      <c r="T154" s="110"/>
      <c r="U154" s="110"/>
    </row>
    <row r="155" spans="1:21" x14ac:dyDescent="0.35">
      <c r="F155" s="21"/>
      <c r="G155" s="21"/>
      <c r="H155" s="21"/>
      <c r="T155" s="110"/>
      <c r="U155" s="110"/>
    </row>
    <row r="156" spans="1:21" s="502" customFormat="1" ht="18.5" x14ac:dyDescent="0.45">
      <c r="A156" s="501"/>
      <c r="B156" s="502" t="s">
        <v>1403</v>
      </c>
      <c r="I156" s="502" t="s">
        <v>855</v>
      </c>
    </row>
    <row r="158" spans="1:21" x14ac:dyDescent="0.35">
      <c r="B158" s="478" t="s">
        <v>359</v>
      </c>
      <c r="C158" s="478"/>
      <c r="D158" s="478"/>
      <c r="E158" s="478"/>
      <c r="F158" s="478"/>
      <c r="G158" s="478"/>
      <c r="H158" s="478"/>
      <c r="I158" s="478"/>
    </row>
    <row r="159" spans="1:21" x14ac:dyDescent="0.35">
      <c r="B159" t="s">
        <v>1408</v>
      </c>
    </row>
    <row r="160" spans="1:21" x14ac:dyDescent="0.35">
      <c r="B160" t="s">
        <v>1406</v>
      </c>
      <c r="E160" s="2"/>
    </row>
    <row r="161" spans="1:21" x14ac:dyDescent="0.35">
      <c r="B161" t="s">
        <v>1407</v>
      </c>
      <c r="E161" s="2"/>
    </row>
    <row r="163" spans="1:21" ht="15" thickBot="1" x14ac:dyDescent="0.4">
      <c r="B163" s="477" t="s">
        <v>1326</v>
      </c>
      <c r="C163" s="477"/>
      <c r="D163" s="477"/>
      <c r="E163" s="477"/>
      <c r="F163" s="477" t="s">
        <v>1327</v>
      </c>
      <c r="G163" s="477"/>
      <c r="H163" s="477"/>
      <c r="I163" s="477"/>
    </row>
    <row r="164" spans="1:21" s="133" customFormat="1" x14ac:dyDescent="0.35">
      <c r="A164"/>
      <c r="B164" s="123" t="s">
        <v>1114</v>
      </c>
      <c r="C164" s="191" t="s">
        <v>1113</v>
      </c>
      <c r="D164" s="124" t="s">
        <v>38</v>
      </c>
      <c r="F164" s="123" t="s">
        <v>1114</v>
      </c>
      <c r="G164" s="191" t="s">
        <v>1113</v>
      </c>
      <c r="H164" s="280" t="s">
        <v>1112</v>
      </c>
    </row>
    <row r="165" spans="1:21" x14ac:dyDescent="0.35">
      <c r="B165" s="125" t="s">
        <v>1111</v>
      </c>
      <c r="C165" s="21" t="s">
        <v>1108</v>
      </c>
      <c r="D165" s="436">
        <v>2</v>
      </c>
      <c r="F165" s="411"/>
      <c r="G165" s="411"/>
      <c r="H165" s="437" t="str" cm="1">
        <f t="array" ref="H165">_xlfn.XLOOKUP(1,($B$165:$B$171=F165)*($C$165:$C$171=G165),$D$165:$D$171,"",0,1)</f>
        <v/>
      </c>
      <c r="T165" s="110"/>
      <c r="U165" s="110"/>
    </row>
    <row r="166" spans="1:21" x14ac:dyDescent="0.35">
      <c r="B166" s="125" t="s">
        <v>1111</v>
      </c>
      <c r="C166" s="21" t="s">
        <v>115</v>
      </c>
      <c r="D166" s="436">
        <v>3</v>
      </c>
      <c r="F166" s="21"/>
      <c r="G166" s="21"/>
      <c r="H166" s="21"/>
      <c r="T166" s="110"/>
      <c r="U166" s="110"/>
    </row>
    <row r="167" spans="1:21" x14ac:dyDescent="0.35">
      <c r="B167" s="125" t="s">
        <v>1109</v>
      </c>
      <c r="C167" s="21" t="s">
        <v>118</v>
      </c>
      <c r="D167" s="436">
        <v>1</v>
      </c>
      <c r="F167" s="21"/>
      <c r="G167" s="21"/>
      <c r="H167" s="21"/>
      <c r="T167" s="110"/>
      <c r="U167" s="110"/>
    </row>
    <row r="168" spans="1:21" x14ac:dyDescent="0.35">
      <c r="B168" s="125" t="s">
        <v>1109</v>
      </c>
      <c r="C168" s="21" t="s">
        <v>1110</v>
      </c>
      <c r="D168" s="436">
        <v>0.5</v>
      </c>
      <c r="F168" s="21"/>
      <c r="G168" s="21"/>
      <c r="H168" s="21"/>
      <c r="T168" s="110"/>
      <c r="U168" s="110"/>
    </row>
    <row r="169" spans="1:21" x14ac:dyDescent="0.35">
      <c r="B169" s="125" t="s">
        <v>1109</v>
      </c>
      <c r="C169" s="21" t="s">
        <v>1108</v>
      </c>
      <c r="D169" s="436">
        <v>1</v>
      </c>
      <c r="F169" s="21"/>
      <c r="G169" s="21"/>
      <c r="H169" s="21"/>
      <c r="T169" s="110"/>
      <c r="U169" s="110"/>
    </row>
    <row r="170" spans="1:21" x14ac:dyDescent="0.35">
      <c r="B170" s="125" t="s">
        <v>1107</v>
      </c>
      <c r="C170" s="21" t="s">
        <v>119</v>
      </c>
      <c r="D170" s="436">
        <v>0.25</v>
      </c>
      <c r="F170" s="21"/>
      <c r="G170" s="21"/>
      <c r="H170" s="21"/>
      <c r="T170" s="110"/>
      <c r="U170" s="110"/>
    </row>
    <row r="171" spans="1:21" x14ac:dyDescent="0.35">
      <c r="B171" s="127" t="s">
        <v>1107</v>
      </c>
      <c r="C171" s="192" t="s">
        <v>1107</v>
      </c>
      <c r="D171" s="435">
        <v>4</v>
      </c>
      <c r="F171" s="21"/>
      <c r="G171" s="21"/>
      <c r="H171" s="21"/>
      <c r="T171" s="110"/>
      <c r="U171" s="110"/>
    </row>
    <row r="172" spans="1:21" x14ac:dyDescent="0.35">
      <c r="F172" s="21"/>
      <c r="G172" s="21"/>
      <c r="H172" s="21"/>
      <c r="T172" s="110"/>
      <c r="U172" s="110"/>
    </row>
    <row r="173" spans="1:21" ht="15" thickBot="1" x14ac:dyDescent="0.4">
      <c r="B173" s="477" t="s">
        <v>1405</v>
      </c>
      <c r="C173" s="477"/>
      <c r="D173" s="477"/>
      <c r="E173" s="477"/>
      <c r="F173" s="477"/>
      <c r="G173" s="477"/>
      <c r="H173" s="477"/>
      <c r="I173" s="477"/>
    </row>
    <row r="174" spans="1:21" x14ac:dyDescent="0.35">
      <c r="B174" s="1" t="s">
        <v>1404</v>
      </c>
      <c r="C174" s="1" t="s">
        <v>1328</v>
      </c>
    </row>
    <row r="175" spans="1:21" x14ac:dyDescent="0.35">
      <c r="B175" t="str" cm="1">
        <f t="array" ref="B175:B177">_xlfn._xlws.SORT(_xlfn.UNIQUE(B165:B171))</f>
        <v>Apple</v>
      </c>
      <c r="C175" t="str" cm="1">
        <f t="array" ref="C175:C180">_xlfn._xlws.SORT(_xlfn.UNIQUE(_xlfn._xlws.FILTER(C165:C171,(B165:B171=F165),C165:C171)))</f>
        <v>Blue</v>
      </c>
    </row>
    <row r="176" spans="1:21" x14ac:dyDescent="0.35">
      <c r="B176" t="str">
        <v>Banana</v>
      </c>
      <c r="C176" t="str">
        <v>Green</v>
      </c>
    </row>
    <row r="177" spans="2:3" x14ac:dyDescent="0.35">
      <c r="B177" t="str">
        <v>Orange</v>
      </c>
      <c r="C177" t="str">
        <v>Orange</v>
      </c>
    </row>
    <row r="178" spans="2:3" x14ac:dyDescent="0.35">
      <c r="C178" t="str">
        <v>Overly ripe</v>
      </c>
    </row>
    <row r="179" spans="2:3" x14ac:dyDescent="0.35">
      <c r="C179" t="str">
        <v>Red</v>
      </c>
    </row>
    <row r="180" spans="2:3" x14ac:dyDescent="0.35">
      <c r="C180" t="str">
        <v>Yellow</v>
      </c>
    </row>
  </sheetData>
  <conditionalFormatting sqref="B73:B75">
    <cfRule type="colorScale" priority="1">
      <colorScale>
        <cfvo type="min"/>
        <cfvo type="percentile" val="50"/>
        <cfvo type="max"/>
        <color rgb="FF63BE7B"/>
        <color rgb="FFFFEB84"/>
        <color rgb="FFF8696B"/>
      </colorScale>
    </cfRule>
  </conditionalFormatting>
  <conditionalFormatting sqref="E80:F90">
    <cfRule type="expression" dxfId="56" priority="6">
      <formula>AND(E80=T80,NOT(_xlfn.ISFORMULA(E80)))</formula>
    </cfRule>
    <cfRule type="expression" dxfId="55" priority="7">
      <formula>AND(E80&lt;&gt;T80,E80&lt;&gt;"")</formula>
    </cfRule>
    <cfRule type="expression" dxfId="54" priority="8">
      <formula>AND(E80=T80,_xlfn.ISFORMULA(E80))</formula>
    </cfRule>
    <cfRule type="containsBlanks" dxfId="53" priority="9">
      <formula>LEN(TRIM(E80))=0</formula>
    </cfRule>
  </conditionalFormatting>
  <conditionalFormatting sqref="F111:F119">
    <cfRule type="expression" dxfId="52" priority="2">
      <formula>AND(F111=T111,NOT(_xlfn.ISFORMULA(F111)))</formula>
    </cfRule>
    <cfRule type="expression" dxfId="51" priority="3">
      <formula>AND(F111&lt;&gt;"",F111&lt;&gt;T111)</formula>
    </cfRule>
    <cfRule type="expression" dxfId="50" priority="4">
      <formula>AND(F111=T111,_xlfn.ISFORMULA(F111))</formula>
    </cfRule>
    <cfRule type="containsBlanks" dxfId="49" priority="5">
      <formula>LEN(TRIM(F111))=0</formula>
    </cfRule>
  </conditionalFormatting>
  <conditionalFormatting sqref="G22:G34">
    <cfRule type="expression" dxfId="48" priority="10">
      <formula>AND(_xlfn.ISFORMULA(G22),G22=T22)</formula>
    </cfRule>
    <cfRule type="containsBlanks" dxfId="47" priority="11">
      <formula>LEN(TRIM(G22))=0</formula>
    </cfRule>
    <cfRule type="expression" dxfId="46" priority="12">
      <formula>AND(G22=T22,NOT(_xlfn.ISFORMULA(G22)))</formula>
    </cfRule>
    <cfRule type="expression" dxfId="45" priority="13">
      <formula>AND(G22&lt;&gt;"",G22&lt;&gt;T22)</formula>
    </cfRule>
  </conditionalFormatting>
  <conditionalFormatting sqref="H46:H57">
    <cfRule type="expression" dxfId="44" priority="14">
      <formula>AND(H46=T46,NOT(_xlfn.ISFORMULA(H46)))</formula>
    </cfRule>
    <cfRule type="expression" dxfId="43" priority="18">
      <formula>AND(H46=T46,_xlfn.ISFORMULA(H46))</formula>
    </cfRule>
  </conditionalFormatting>
  <conditionalFormatting sqref="H46:I57">
    <cfRule type="expression" dxfId="42" priority="15">
      <formula>AND(H46&lt;&gt;T46,H46&lt;&gt;"")</formula>
    </cfRule>
    <cfRule type="containsBlanks" dxfId="41" priority="16">
      <formula>LEN(TRIM(H46))=0</formula>
    </cfRule>
  </conditionalFormatting>
  <conditionalFormatting sqref="I46:I57">
    <cfRule type="expression" dxfId="40" priority="17">
      <formula>AND(I46=U46,_xlfn.ISFORMULA(H46))</formula>
    </cfRule>
  </conditionalFormatting>
  <dataValidations count="3">
    <dataValidation type="list" allowBlank="1" showInputMessage="1" showErrorMessage="1" prompt="Please select from the dropdown menu." sqref="G148" xr:uid="{9C7A3281-064A-4B45-A138-8438CF53F189}">
      <formula1>$C$148:$C$154</formula1>
    </dataValidation>
    <dataValidation type="list" allowBlank="1" showInputMessage="1" showErrorMessage="1" prompt="Please select from the dropdown menu." sqref="F148" xr:uid="{1FF16FFF-1BEB-4A65-8BA6-17194986CED6}">
      <formula1>$B$148:$B$154</formula1>
    </dataValidation>
    <dataValidation type="list" allowBlank="1" showInputMessage="1" showErrorMessage="1" prompt="Please select from the dropdown menu." sqref="G165 F165" xr:uid="{DDEEC830-D26A-4444-9051-4A0CB7DAB28C}">
      <formula1>_xlfn.ANCHORARRAY(B175)</formula1>
    </dataValidation>
  </dataValidations>
  <hyperlinks>
    <hyperlink ref="B1" location="Menu!A1" display="   Main Menu   " xr:uid="{386274F0-60BA-4A3D-AE32-8623059F07DB}"/>
    <hyperlink ref="C1" location="'B1 Instructions'!A1" display="Instructions" xr:uid="{4226C9E3-831E-4FED-9894-EB3E28865059}"/>
    <hyperlink ref="I14" location="TopExercise" display="           Top           " xr:uid="{E8FDA4FF-D5A1-4669-9ECA-96D63ECE7D33}"/>
    <hyperlink ref="I37" location="TopExercise" display="           Top           " xr:uid="{BE4577D0-2B56-40B2-A0B8-1E5CB7AE1F9B}"/>
    <hyperlink ref="I59" location="TopExercise" display="           Top           " xr:uid="{ECF0927C-82A2-4D8D-8779-0E0F880C78B5}"/>
    <hyperlink ref="I103" location="TopExercise" display="           Top           " xr:uid="{6C1CABB4-E0C3-4D8C-8CE0-BD56438DC3C1}"/>
    <hyperlink ref="B107" location="wildcards" display="You may want to review the Xlookup with wildcards example." xr:uid="{6139FBF3-72BF-4B68-B0E7-FD6539592977}"/>
    <hyperlink ref="I138" location="TopExercise" display="           Top           " xr:uid="{63C6FE0C-5EAF-4203-9C95-404698C26669}"/>
    <hyperlink ref="B143" location="mult" display="You may want to review how to do XLookup with multiple conditions…" xr:uid="{944B176E-6B5F-475A-9115-D18DD08F07E4}"/>
    <hyperlink ref="B7" location="Exer1" display="Exercise 1: Random Famous People" xr:uid="{0A6A22F4-6FCF-4CC8-ACA9-C25E8DF615F3}"/>
    <hyperlink ref="B8" location="Exer2" display="What needs to be in place for Flash Fill to work" xr:uid="{878FDCA8-FE4D-415C-90C2-CC637B7911C3}"/>
    <hyperlink ref="B9" location="Exer3" display="Wait, what is Flash Fill? What's the point?" xr:uid="{DE1F2F1B-DF36-4ECD-84A6-554706891CAC}"/>
    <hyperlink ref="B10" location="Exer4" display="Exercise 4: " xr:uid="{27386059-7020-477A-A372-23D8AEABDE74}"/>
    <hyperlink ref="B11" location="Exer5" display="Exercise 5:" xr:uid="{23E31E6F-23DA-4AD8-B92D-D8A7A2F03461}"/>
    <hyperlink ref="I156" location="TopExercise" display="           Top           " xr:uid="{6AFE4FC4-86B2-4AAD-95C1-8C9050A8FB9E}"/>
    <hyperlink ref="B12" location="DemoDrop" display="Demo: A magical dropdown" xr:uid="{19FBA1AE-31C5-4ACE-AA96-B1826304C774}"/>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30">
    <tabColor rgb="FFFFFF00"/>
  </sheetPr>
  <dimension ref="A1:I115"/>
  <sheetViews>
    <sheetView topLeftCell="A101" workbookViewId="0">
      <selection activeCell="B30" sqref="B30"/>
    </sheetView>
  </sheetViews>
  <sheetFormatPr defaultColWidth="11.453125" defaultRowHeight="14.5" x14ac:dyDescent="0.35"/>
  <cols>
    <col min="1" max="1" width="4.6328125" customWidth="1"/>
    <col min="2" max="3" width="23.453125" style="2" customWidth="1"/>
    <col min="4" max="4" width="11.453125" style="2" customWidth="1"/>
    <col min="5" max="6" width="12.90625" style="2" customWidth="1"/>
    <col min="7" max="7" width="5.08984375" style="2" customWidth="1"/>
    <col min="8" max="8" width="21.90625" customWidth="1"/>
    <col min="9" max="9" width="11.54296875" customWidth="1"/>
  </cols>
  <sheetData>
    <row r="1" spans="1:5" s="50" customFormat="1" ht="18.5" x14ac:dyDescent="0.35">
      <c r="A1" s="87" t="s">
        <v>130</v>
      </c>
      <c r="B1" s="80" t="s">
        <v>243</v>
      </c>
      <c r="C1" s="80" t="s">
        <v>244</v>
      </c>
      <c r="D1" s="50" t="s">
        <v>582</v>
      </c>
      <c r="E1" s="50" t="s">
        <v>581</v>
      </c>
    </row>
    <row r="2" spans="1:5" s="50" customFormat="1" ht="15" thickBot="1" x14ac:dyDescent="0.4">
      <c r="B2" s="83"/>
    </row>
    <row r="3" spans="1:5" s="50" customFormat="1" ht="18.75" customHeight="1" x14ac:dyDescent="0.45">
      <c r="B3" s="114"/>
      <c r="C3" s="77" t="s">
        <v>1307</v>
      </c>
      <c r="D3" s="77"/>
      <c r="E3" s="57"/>
    </row>
    <row r="4" spans="1:5" s="50" customFormat="1" ht="18.5" x14ac:dyDescent="0.45">
      <c r="B4" s="116"/>
      <c r="C4" s="49"/>
      <c r="E4" s="60"/>
    </row>
    <row r="5" spans="1:5" s="50" customFormat="1" ht="15.5" x14ac:dyDescent="0.35">
      <c r="B5" s="116"/>
      <c r="C5" s="85" t="s">
        <v>234</v>
      </c>
      <c r="E5" s="60"/>
    </row>
    <row r="6" spans="1:5" s="50" customFormat="1" x14ac:dyDescent="0.35">
      <c r="B6" s="116"/>
      <c r="C6" s="78" t="s">
        <v>766</v>
      </c>
      <c r="E6" s="60"/>
    </row>
    <row r="7" spans="1:5" s="50" customFormat="1" x14ac:dyDescent="0.35">
      <c r="B7" s="116"/>
      <c r="C7" s="78" t="s">
        <v>1295</v>
      </c>
      <c r="E7" s="60"/>
    </row>
    <row r="8" spans="1:5" s="50" customFormat="1" x14ac:dyDescent="0.35">
      <c r="B8" s="116"/>
      <c r="C8" s="78" t="s">
        <v>765</v>
      </c>
      <c r="E8" s="60"/>
    </row>
    <row r="9" spans="1:5" s="50" customFormat="1" x14ac:dyDescent="0.35">
      <c r="B9" s="116"/>
      <c r="C9" s="78" t="s">
        <v>764</v>
      </c>
      <c r="E9" s="60"/>
    </row>
    <row r="10" spans="1:5" s="50" customFormat="1" ht="18.5" x14ac:dyDescent="0.45">
      <c r="B10" s="116"/>
      <c r="C10" s="49"/>
      <c r="E10" s="60"/>
    </row>
    <row r="11" spans="1:5" s="50" customFormat="1" ht="15.5" x14ac:dyDescent="0.35">
      <c r="B11" s="116"/>
      <c r="C11" s="85" t="s">
        <v>372</v>
      </c>
      <c r="E11" s="60"/>
    </row>
    <row r="12" spans="1:5" s="50" customFormat="1" x14ac:dyDescent="0.35">
      <c r="B12" s="115"/>
      <c r="C12" s="78" t="s">
        <v>767</v>
      </c>
      <c r="E12" s="60"/>
    </row>
    <row r="13" spans="1:5" s="50" customFormat="1" x14ac:dyDescent="0.35">
      <c r="B13" s="115"/>
      <c r="C13" s="78" t="s">
        <v>768</v>
      </c>
      <c r="E13" s="60"/>
    </row>
    <row r="14" spans="1:5" s="50" customFormat="1" x14ac:dyDescent="0.35">
      <c r="B14" s="115"/>
      <c r="C14" s="78" t="s">
        <v>769</v>
      </c>
      <c r="E14" s="60"/>
    </row>
    <row r="15" spans="1:5" s="50" customFormat="1" x14ac:dyDescent="0.35">
      <c r="B15" s="115"/>
      <c r="C15" s="78"/>
      <c r="E15" s="60"/>
    </row>
    <row r="16" spans="1:5" s="50" customFormat="1" ht="15.5" x14ac:dyDescent="0.35">
      <c r="B16" s="115"/>
      <c r="C16" s="85" t="s">
        <v>237</v>
      </c>
      <c r="E16" s="60"/>
    </row>
    <row r="17" spans="1:5" s="50" customFormat="1" x14ac:dyDescent="0.35">
      <c r="B17" s="115"/>
      <c r="C17" s="78" t="s">
        <v>414</v>
      </c>
      <c r="E17" s="60"/>
    </row>
    <row r="18" spans="1:5" s="50" customFormat="1" x14ac:dyDescent="0.35">
      <c r="B18" s="115"/>
      <c r="C18" s="78" t="s">
        <v>416</v>
      </c>
      <c r="E18" s="60"/>
    </row>
    <row r="19" spans="1:5" s="50" customFormat="1" x14ac:dyDescent="0.35">
      <c r="B19" s="115"/>
      <c r="C19" s="78" t="s">
        <v>770</v>
      </c>
      <c r="E19" s="60"/>
    </row>
    <row r="20" spans="1:5" s="50" customFormat="1" ht="15" thickBot="1" x14ac:dyDescent="0.4">
      <c r="B20" s="86"/>
      <c r="C20" s="63"/>
      <c r="D20" s="63"/>
      <c r="E20" s="65"/>
    </row>
    <row r="21" spans="1:5" s="50" customFormat="1" x14ac:dyDescent="0.35">
      <c r="B21" s="83"/>
    </row>
    <row r="22" spans="1:5" s="101" customFormat="1" ht="18.5" x14ac:dyDescent="0.45">
      <c r="A22" s="98" t="s">
        <v>130</v>
      </c>
      <c r="B22" s="99" t="s">
        <v>238</v>
      </c>
      <c r="C22" s="100"/>
    </row>
    <row r="23" spans="1:5" s="50" customFormat="1" x14ac:dyDescent="0.35">
      <c r="A23" s="87"/>
      <c r="B23" s="50" t="s">
        <v>773</v>
      </c>
    </row>
    <row r="24" spans="1:5" s="50" customFormat="1" x14ac:dyDescent="0.35">
      <c r="A24" s="87"/>
      <c r="B24" s="50" t="s">
        <v>771</v>
      </c>
    </row>
    <row r="25" spans="1:5" s="50" customFormat="1" x14ac:dyDescent="0.35">
      <c r="A25" s="87"/>
      <c r="B25" s="50" t="s">
        <v>772</v>
      </c>
    </row>
    <row r="26" spans="1:5" s="50" customFormat="1" x14ac:dyDescent="0.35">
      <c r="A26" s="87"/>
    </row>
    <row r="27" spans="1:5" s="50" customFormat="1" x14ac:dyDescent="0.35">
      <c r="A27" s="87"/>
      <c r="B27" s="50" t="s">
        <v>1296</v>
      </c>
    </row>
    <row r="28" spans="1:5" s="50" customFormat="1" x14ac:dyDescent="0.35">
      <c r="A28" s="87"/>
      <c r="B28" s="50" t="s">
        <v>1297</v>
      </c>
    </row>
    <row r="29" spans="1:5" s="50" customFormat="1" x14ac:dyDescent="0.35">
      <c r="A29" s="87"/>
      <c r="B29" s="50" t="s">
        <v>1320</v>
      </c>
    </row>
    <row r="30" spans="1:5" s="50" customFormat="1" x14ac:dyDescent="0.35">
      <c r="A30" s="87"/>
    </row>
    <row r="31" spans="1:5" s="50" customFormat="1" x14ac:dyDescent="0.35">
      <c r="A31" s="87"/>
      <c r="B31" s="50" t="s">
        <v>774</v>
      </c>
    </row>
    <row r="32" spans="1:5" s="50" customFormat="1" x14ac:dyDescent="0.35">
      <c r="A32" s="87"/>
      <c r="B32" s="50" t="s">
        <v>775</v>
      </c>
    </row>
    <row r="33" spans="1:9" s="50" customFormat="1" x14ac:dyDescent="0.35">
      <c r="A33" s="87"/>
      <c r="B33" s="50" t="s">
        <v>776</v>
      </c>
    </row>
    <row r="34" spans="1:9" s="50" customFormat="1" x14ac:dyDescent="0.35">
      <c r="A34" s="87"/>
    </row>
    <row r="35" spans="1:9" s="50" customFormat="1" x14ac:dyDescent="0.35">
      <c r="A35" s="87"/>
      <c r="B35" s="50" t="s">
        <v>777</v>
      </c>
    </row>
    <row r="36" spans="1:9" s="50" customFormat="1" x14ac:dyDescent="0.35">
      <c r="A36" s="87"/>
      <c r="B36" s="50" t="s">
        <v>778</v>
      </c>
    </row>
    <row r="37" spans="1:9" s="50" customFormat="1" x14ac:dyDescent="0.35">
      <c r="A37" s="87"/>
      <c r="B37" s="50" t="s">
        <v>779</v>
      </c>
    </row>
    <row r="38" spans="1:9" s="50" customFormat="1" x14ac:dyDescent="0.35">
      <c r="B38" s="54"/>
      <c r="C38" s="54"/>
      <c r="D38" s="54"/>
    </row>
    <row r="39" spans="1:9" s="97" customFormat="1" ht="18.5" x14ac:dyDescent="0.45">
      <c r="A39" s="93" t="s">
        <v>130</v>
      </c>
      <c r="B39" s="95" t="s">
        <v>780</v>
      </c>
      <c r="C39" s="96"/>
      <c r="D39" s="95"/>
      <c r="H39" s="95" t="s">
        <v>781</v>
      </c>
    </row>
    <row r="40" spans="1:9" s="50" customFormat="1" x14ac:dyDescent="0.35">
      <c r="B40" s="54"/>
      <c r="C40" s="54"/>
      <c r="D40" s="54"/>
    </row>
    <row r="41" spans="1:9" s="95" customFormat="1" ht="18.5" x14ac:dyDescent="0.45">
      <c r="A41" s="93" t="s">
        <v>130</v>
      </c>
      <c r="B41" s="95" t="s">
        <v>782</v>
      </c>
    </row>
    <row r="42" spans="1:9" x14ac:dyDescent="0.35">
      <c r="B42" s="1" t="s">
        <v>209</v>
      </c>
      <c r="C42" s="1"/>
      <c r="D42" s="1"/>
      <c r="E42"/>
      <c r="F42"/>
      <c r="G42" s="16"/>
    </row>
    <row r="43" spans="1:9" x14ac:dyDescent="0.35">
      <c r="B43" s="1"/>
      <c r="C43" s="1"/>
      <c r="D43" s="1"/>
      <c r="E43"/>
      <c r="F43"/>
      <c r="G43" s="16"/>
    </row>
    <row r="44" spans="1:9" s="23" customFormat="1" ht="28.5" customHeight="1" x14ac:dyDescent="0.35">
      <c r="B44" s="33" t="s">
        <v>202</v>
      </c>
      <c r="C44" s="34" t="s">
        <v>195</v>
      </c>
      <c r="D44" s="34" t="s">
        <v>208</v>
      </c>
      <c r="E44" s="34" t="s">
        <v>199</v>
      </c>
      <c r="F44" s="42" t="s">
        <v>196</v>
      </c>
      <c r="G44" s="329"/>
      <c r="H44" s="332" t="s">
        <v>784</v>
      </c>
    </row>
    <row r="45" spans="1:9" x14ac:dyDescent="0.35">
      <c r="B45" s="35" t="s">
        <v>192</v>
      </c>
      <c r="C45" t="s">
        <v>193</v>
      </c>
      <c r="D45" s="337">
        <v>5</v>
      </c>
      <c r="E45" s="337">
        <v>1</v>
      </c>
      <c r="F45" s="338">
        <v>2290</v>
      </c>
      <c r="G45" s="330"/>
      <c r="H45" s="36" t="str">
        <f>IF(D45&gt;=5,"I AM CONCERNED", "NOTHING TO SEE HERE")</f>
        <v>I AM CONCERNED</v>
      </c>
      <c r="I45" s="4" t="s">
        <v>1298</v>
      </c>
    </row>
    <row r="46" spans="1:9" x14ac:dyDescent="0.35">
      <c r="B46" s="35" t="s">
        <v>203</v>
      </c>
      <c r="C46" t="s">
        <v>197</v>
      </c>
      <c r="D46" s="337">
        <v>4</v>
      </c>
      <c r="E46" s="337">
        <v>0</v>
      </c>
      <c r="F46" s="338">
        <v>10</v>
      </c>
      <c r="G46" s="331"/>
      <c r="H46" s="36" t="str">
        <f t="shared" ref="H46:H51" si="0">IF(D46&gt;=5,"I AM CONCERNED", "NOTHING TO SEE HERE")</f>
        <v>NOTHING TO SEE HERE</v>
      </c>
    </row>
    <row r="47" spans="1:9" x14ac:dyDescent="0.35">
      <c r="B47" s="35" t="s">
        <v>198</v>
      </c>
      <c r="C47" t="s">
        <v>197</v>
      </c>
      <c r="D47" s="337">
        <v>9</v>
      </c>
      <c r="E47" s="337">
        <v>0</v>
      </c>
      <c r="F47" s="338">
        <v>10</v>
      </c>
      <c r="G47" s="331"/>
      <c r="H47" s="36" t="str">
        <f t="shared" si="0"/>
        <v>I AM CONCERNED</v>
      </c>
    </row>
    <row r="48" spans="1:9" x14ac:dyDescent="0.35">
      <c r="B48" s="35" t="s">
        <v>200</v>
      </c>
      <c r="C48" t="s">
        <v>201</v>
      </c>
      <c r="D48" s="339">
        <v>5</v>
      </c>
      <c r="E48" s="339">
        <v>100000000</v>
      </c>
      <c r="F48" s="340">
        <v>1</v>
      </c>
      <c r="G48" s="331"/>
      <c r="H48" s="36" t="str">
        <f t="shared" si="0"/>
        <v>I AM CONCERNED</v>
      </c>
    </row>
    <row r="49" spans="2:9" x14ac:dyDescent="0.35">
      <c r="B49" s="35" t="s">
        <v>204</v>
      </c>
      <c r="C49" t="s">
        <v>205</v>
      </c>
      <c r="D49" s="339">
        <v>10</v>
      </c>
      <c r="E49" s="339">
        <v>0</v>
      </c>
      <c r="F49" s="340">
        <v>0</v>
      </c>
      <c r="G49" s="331"/>
      <c r="H49" s="36" t="str">
        <f t="shared" si="0"/>
        <v>I AM CONCERNED</v>
      </c>
    </row>
    <row r="50" spans="2:9" x14ac:dyDescent="0.35">
      <c r="B50" s="35" t="s">
        <v>206</v>
      </c>
      <c r="C50" t="s">
        <v>193</v>
      </c>
      <c r="D50" s="339">
        <v>1</v>
      </c>
      <c r="E50" s="339">
        <v>12</v>
      </c>
      <c r="F50" s="340">
        <v>0</v>
      </c>
      <c r="G50" s="331"/>
      <c r="H50" s="36" t="str">
        <f t="shared" si="0"/>
        <v>NOTHING TO SEE HERE</v>
      </c>
    </row>
    <row r="51" spans="2:9" x14ac:dyDescent="0.35">
      <c r="B51" s="37" t="s">
        <v>207</v>
      </c>
      <c r="C51" s="38" t="s">
        <v>197</v>
      </c>
      <c r="D51" s="341">
        <v>3</v>
      </c>
      <c r="E51" s="341">
        <v>1</v>
      </c>
      <c r="F51" s="342">
        <v>4218</v>
      </c>
      <c r="G51" s="331"/>
      <c r="H51" s="39" t="str">
        <f t="shared" si="0"/>
        <v>NOTHING TO SEE HERE</v>
      </c>
    </row>
    <row r="52" spans="2:9" x14ac:dyDescent="0.35">
      <c r="B52"/>
      <c r="C52"/>
      <c r="D52" s="339"/>
      <c r="E52" s="339"/>
      <c r="F52" s="339"/>
    </row>
    <row r="53" spans="2:9" x14ac:dyDescent="0.35">
      <c r="B53" s="2" t="s">
        <v>211</v>
      </c>
      <c r="C53" s="10"/>
      <c r="D53" s="337"/>
      <c r="E53" s="343"/>
      <c r="F53" s="343"/>
      <c r="H53" s="1"/>
    </row>
    <row r="54" spans="2:9" x14ac:dyDescent="0.35">
      <c r="B54" s="333" t="s">
        <v>210</v>
      </c>
      <c r="C54" s="30">
        <v>5</v>
      </c>
      <c r="D54" s="343" t="s">
        <v>227</v>
      </c>
      <c r="E54" s="343"/>
      <c r="F54" s="343"/>
    </row>
    <row r="55" spans="2:9" x14ac:dyDescent="0.35">
      <c r="B55" s="10"/>
      <c r="C55" s="10"/>
      <c r="D55" s="337"/>
      <c r="E55" s="337"/>
      <c r="F55" s="337"/>
      <c r="G55" s="10"/>
      <c r="H55" s="1"/>
    </row>
    <row r="56" spans="2:9" ht="43.5" x14ac:dyDescent="0.35">
      <c r="B56" s="33" t="s">
        <v>202</v>
      </c>
      <c r="C56" s="34" t="s">
        <v>195</v>
      </c>
      <c r="D56" s="344" t="s">
        <v>208</v>
      </c>
      <c r="E56" s="344" t="s">
        <v>199</v>
      </c>
      <c r="F56" s="345" t="s">
        <v>196</v>
      </c>
      <c r="G56" s="329"/>
      <c r="H56" s="332" t="s">
        <v>785</v>
      </c>
    </row>
    <row r="57" spans="2:9" x14ac:dyDescent="0.35">
      <c r="B57" s="35" t="s">
        <v>192</v>
      </c>
      <c r="C57" t="s">
        <v>193</v>
      </c>
      <c r="D57" s="337">
        <v>5</v>
      </c>
      <c r="E57" s="337">
        <v>1</v>
      </c>
      <c r="F57" s="338">
        <v>2290</v>
      </c>
      <c r="G57" s="330"/>
      <c r="H57" s="36" t="str">
        <f>IF(D57&gt;=$C$54,"I AM CONCERNED", "Nothing to see here")</f>
        <v>I AM CONCERNED</v>
      </c>
      <c r="I57" s="4" t="s">
        <v>1299</v>
      </c>
    </row>
    <row r="58" spans="2:9" x14ac:dyDescent="0.35">
      <c r="B58" s="35" t="s">
        <v>203</v>
      </c>
      <c r="C58" t="s">
        <v>197</v>
      </c>
      <c r="D58" s="337">
        <v>4</v>
      </c>
      <c r="E58" s="337">
        <v>0</v>
      </c>
      <c r="F58" s="338">
        <v>10</v>
      </c>
      <c r="G58" s="331"/>
      <c r="H58" s="36" t="str">
        <f t="shared" ref="H58:H63" si="1">IF(D58&gt;=$C$54,"I AM CONCERNED", "Nothing to see here")</f>
        <v>Nothing to see here</v>
      </c>
    </row>
    <row r="59" spans="2:9" x14ac:dyDescent="0.35">
      <c r="B59" s="35" t="s">
        <v>198</v>
      </c>
      <c r="C59" t="s">
        <v>197</v>
      </c>
      <c r="D59" s="337">
        <v>9</v>
      </c>
      <c r="E59" s="337">
        <v>0</v>
      </c>
      <c r="F59" s="338">
        <v>10</v>
      </c>
      <c r="G59" s="331"/>
      <c r="H59" s="36" t="str">
        <f t="shared" si="1"/>
        <v>I AM CONCERNED</v>
      </c>
    </row>
    <row r="60" spans="2:9" x14ac:dyDescent="0.35">
      <c r="B60" s="35" t="s">
        <v>200</v>
      </c>
      <c r="C60" t="s">
        <v>201</v>
      </c>
      <c r="D60" s="339">
        <v>5</v>
      </c>
      <c r="E60" s="339">
        <v>100000000</v>
      </c>
      <c r="F60" s="340">
        <v>1</v>
      </c>
      <c r="G60" s="331"/>
      <c r="H60" s="36" t="str">
        <f t="shared" si="1"/>
        <v>I AM CONCERNED</v>
      </c>
    </row>
    <row r="61" spans="2:9" x14ac:dyDescent="0.35">
      <c r="B61" s="35" t="s">
        <v>204</v>
      </c>
      <c r="C61" t="s">
        <v>205</v>
      </c>
      <c r="D61" s="339">
        <v>10</v>
      </c>
      <c r="E61" s="339">
        <v>0</v>
      </c>
      <c r="F61" s="340">
        <v>0</v>
      </c>
      <c r="G61" s="331"/>
      <c r="H61" s="36" t="str">
        <f t="shared" si="1"/>
        <v>I AM CONCERNED</v>
      </c>
    </row>
    <row r="62" spans="2:9" x14ac:dyDescent="0.35">
      <c r="B62" s="35" t="s">
        <v>206</v>
      </c>
      <c r="C62" t="s">
        <v>193</v>
      </c>
      <c r="D62" s="339">
        <v>1</v>
      </c>
      <c r="E62" s="339">
        <v>12</v>
      </c>
      <c r="F62" s="340">
        <v>0</v>
      </c>
      <c r="G62" s="331"/>
      <c r="H62" s="36" t="str">
        <f t="shared" si="1"/>
        <v>Nothing to see here</v>
      </c>
    </row>
    <row r="63" spans="2:9" x14ac:dyDescent="0.35">
      <c r="B63" s="37" t="s">
        <v>207</v>
      </c>
      <c r="C63" s="38" t="s">
        <v>197</v>
      </c>
      <c r="D63" s="341">
        <v>3</v>
      </c>
      <c r="E63" s="341">
        <v>1</v>
      </c>
      <c r="F63" s="342">
        <v>4218</v>
      </c>
      <c r="G63" s="331"/>
      <c r="H63" s="39" t="str">
        <f t="shared" si="1"/>
        <v>Nothing to see here</v>
      </c>
    </row>
    <row r="64" spans="2:9" x14ac:dyDescent="0.35">
      <c r="D64" s="343"/>
      <c r="E64" s="343"/>
      <c r="F64" s="343"/>
    </row>
    <row r="65" spans="1:9" s="6" customFormat="1" ht="18.5" x14ac:dyDescent="0.45">
      <c r="A65" s="7"/>
      <c r="B65" s="40" t="s">
        <v>783</v>
      </c>
      <c r="C65" s="41"/>
      <c r="D65" s="346"/>
      <c r="E65" s="346"/>
      <c r="F65" s="347"/>
      <c r="G65" s="41"/>
      <c r="H65" s="41"/>
    </row>
    <row r="66" spans="1:9" x14ac:dyDescent="0.35">
      <c r="B66" s="1" t="str">
        <f>"Let's flag all the cases where the scariness is "&amp; C67 &amp;" or more and the threat is within " &amp;F67 &amp;" KM"</f>
        <v>Let's flag all the cases where the scariness is 5 or more and the threat is within 10 KM</v>
      </c>
      <c r="C66" s="1"/>
      <c r="D66" s="348"/>
      <c r="E66" s="339"/>
      <c r="F66" s="339"/>
      <c r="G66" s="16"/>
    </row>
    <row r="67" spans="1:9" x14ac:dyDescent="0.35">
      <c r="B67" s="334" t="s">
        <v>210</v>
      </c>
      <c r="C67" s="32">
        <v>5</v>
      </c>
      <c r="D67" s="348"/>
      <c r="E67" s="349" t="s">
        <v>194</v>
      </c>
      <c r="F67" s="350">
        <v>10</v>
      </c>
      <c r="G67" s="16"/>
    </row>
    <row r="68" spans="1:9" x14ac:dyDescent="0.35">
      <c r="B68" s="1"/>
      <c r="C68" s="1"/>
      <c r="D68" s="348"/>
      <c r="E68" s="339"/>
      <c r="F68" s="339"/>
      <c r="G68" s="16"/>
    </row>
    <row r="69" spans="1:9" ht="29" x14ac:dyDescent="0.35">
      <c r="B69" s="335" t="s">
        <v>202</v>
      </c>
      <c r="C69" s="336" t="s">
        <v>195</v>
      </c>
      <c r="D69" s="344" t="s">
        <v>208</v>
      </c>
      <c r="E69" s="344" t="s">
        <v>199</v>
      </c>
      <c r="F69" s="345" t="s">
        <v>196</v>
      </c>
      <c r="G69" s="329"/>
      <c r="H69" s="332" t="s">
        <v>786</v>
      </c>
    </row>
    <row r="70" spans="1:9" x14ac:dyDescent="0.35">
      <c r="B70" s="35" t="s">
        <v>192</v>
      </c>
      <c r="C70" t="s">
        <v>193</v>
      </c>
      <c r="D70" s="337">
        <v>5</v>
      </c>
      <c r="E70" s="337">
        <v>1</v>
      </c>
      <c r="F70" s="338">
        <v>2290</v>
      </c>
      <c r="G70" s="330"/>
      <c r="H70" s="36" t="b">
        <f>AND(D70&gt;=$C$67,F70&lt;=$F$67)</f>
        <v>0</v>
      </c>
      <c r="I70" s="4" t="s">
        <v>1300</v>
      </c>
    </row>
    <row r="71" spans="1:9" x14ac:dyDescent="0.35">
      <c r="B71" s="35" t="s">
        <v>203</v>
      </c>
      <c r="C71" t="s">
        <v>197</v>
      </c>
      <c r="D71" s="337">
        <v>4</v>
      </c>
      <c r="E71" s="337">
        <v>0</v>
      </c>
      <c r="F71" s="338">
        <v>10</v>
      </c>
      <c r="G71" s="331"/>
      <c r="H71" s="36" t="b">
        <f t="shared" ref="H71:H76" si="2">AND(D71&gt;=$C$67,F71&lt;=$F$67)</f>
        <v>0</v>
      </c>
    </row>
    <row r="72" spans="1:9" x14ac:dyDescent="0.35">
      <c r="B72" s="35" t="s">
        <v>198</v>
      </c>
      <c r="C72" t="s">
        <v>197</v>
      </c>
      <c r="D72" s="337">
        <v>9</v>
      </c>
      <c r="E72" s="337">
        <v>0</v>
      </c>
      <c r="F72" s="338">
        <v>10</v>
      </c>
      <c r="G72" s="331"/>
      <c r="H72" s="36" t="b">
        <f t="shared" si="2"/>
        <v>1</v>
      </c>
    </row>
    <row r="73" spans="1:9" x14ac:dyDescent="0.35">
      <c r="B73" s="35" t="s">
        <v>200</v>
      </c>
      <c r="C73" t="s">
        <v>201</v>
      </c>
      <c r="D73" s="339">
        <v>5</v>
      </c>
      <c r="E73" s="339">
        <v>100000000</v>
      </c>
      <c r="F73" s="340">
        <v>1</v>
      </c>
      <c r="G73" s="331"/>
      <c r="H73" s="36" t="b">
        <f t="shared" si="2"/>
        <v>1</v>
      </c>
    </row>
    <row r="74" spans="1:9" x14ac:dyDescent="0.35">
      <c r="B74" s="35" t="s">
        <v>204</v>
      </c>
      <c r="C74" t="s">
        <v>205</v>
      </c>
      <c r="D74" s="339">
        <v>10</v>
      </c>
      <c r="E74" s="339">
        <v>0</v>
      </c>
      <c r="F74" s="340">
        <v>0</v>
      </c>
      <c r="G74" s="331"/>
      <c r="H74" s="36" t="b">
        <f t="shared" si="2"/>
        <v>1</v>
      </c>
    </row>
    <row r="75" spans="1:9" x14ac:dyDescent="0.35">
      <c r="B75" s="35" t="s">
        <v>206</v>
      </c>
      <c r="C75" t="s">
        <v>193</v>
      </c>
      <c r="D75" s="339">
        <v>1</v>
      </c>
      <c r="E75" s="339">
        <v>12</v>
      </c>
      <c r="F75" s="340">
        <v>0</v>
      </c>
      <c r="G75" s="331"/>
      <c r="H75" s="36" t="b">
        <f t="shared" si="2"/>
        <v>0</v>
      </c>
    </row>
    <row r="76" spans="1:9" x14ac:dyDescent="0.35">
      <c r="B76" s="37" t="s">
        <v>207</v>
      </c>
      <c r="C76" s="38" t="s">
        <v>197</v>
      </c>
      <c r="D76" s="341">
        <v>3</v>
      </c>
      <c r="E76" s="341">
        <v>1</v>
      </c>
      <c r="F76" s="342">
        <v>4218</v>
      </c>
      <c r="G76" s="331"/>
      <c r="H76" s="39" t="b">
        <f t="shared" si="2"/>
        <v>0</v>
      </c>
    </row>
    <row r="77" spans="1:9" x14ac:dyDescent="0.35">
      <c r="D77" s="343"/>
      <c r="E77" s="343"/>
      <c r="F77" s="343"/>
    </row>
    <row r="78" spans="1:9" s="6" customFormat="1" ht="18.5" x14ac:dyDescent="0.45">
      <c r="A78" s="7"/>
      <c r="B78" s="40" t="s">
        <v>787</v>
      </c>
      <c r="C78" s="41"/>
      <c r="D78" s="346"/>
      <c r="E78" s="346"/>
      <c r="F78" s="347"/>
      <c r="G78" s="41"/>
      <c r="H78" s="41"/>
    </row>
    <row r="79" spans="1:9" x14ac:dyDescent="0.35">
      <c r="B79" s="1" t="str">
        <f>"Let's flag all the cases where the scariness is "&amp;C80&amp;" or more or the threat is within "&amp;F80&amp;" KM"</f>
        <v>Let's flag all the cases where the scariness is 5 or more or the threat is within 10 KM</v>
      </c>
      <c r="C79" s="1"/>
      <c r="D79" s="348"/>
      <c r="E79" s="339"/>
      <c r="F79" s="339"/>
      <c r="G79" s="16"/>
    </row>
    <row r="80" spans="1:9" x14ac:dyDescent="0.35">
      <c r="B80" s="334" t="s">
        <v>210</v>
      </c>
      <c r="C80" s="32">
        <v>5</v>
      </c>
      <c r="D80" s="348"/>
      <c r="E80" s="349" t="s">
        <v>194</v>
      </c>
      <c r="F80" s="350">
        <v>10</v>
      </c>
      <c r="G80" s="16"/>
    </row>
    <row r="81" spans="1:9" x14ac:dyDescent="0.35">
      <c r="B81" s="1"/>
      <c r="C81" s="1"/>
      <c r="D81" s="348"/>
      <c r="E81" s="339"/>
      <c r="F81" s="339"/>
      <c r="G81" s="16"/>
    </row>
    <row r="82" spans="1:9" ht="29" x14ac:dyDescent="0.35">
      <c r="B82" s="33" t="s">
        <v>202</v>
      </c>
      <c r="C82" s="34" t="s">
        <v>195</v>
      </c>
      <c r="D82" s="344" t="s">
        <v>208</v>
      </c>
      <c r="E82" s="344" t="s">
        <v>199</v>
      </c>
      <c r="F82" s="345" t="s">
        <v>196</v>
      </c>
      <c r="G82" s="329"/>
      <c r="H82" s="332" t="s">
        <v>788</v>
      </c>
    </row>
    <row r="83" spans="1:9" x14ac:dyDescent="0.35">
      <c r="B83" s="35" t="s">
        <v>192</v>
      </c>
      <c r="C83" t="s">
        <v>193</v>
      </c>
      <c r="D83" s="337">
        <v>5</v>
      </c>
      <c r="E83" s="337">
        <v>1</v>
      </c>
      <c r="F83" s="338">
        <v>2290</v>
      </c>
      <c r="G83" s="330"/>
      <c r="H83" s="36" t="b">
        <f>OR(D83&gt;=$C$80,F83&lt;=$F$80)</f>
        <v>1</v>
      </c>
      <c r="I83" s="4" t="s">
        <v>1301</v>
      </c>
    </row>
    <row r="84" spans="1:9" x14ac:dyDescent="0.35">
      <c r="B84" s="35" t="s">
        <v>203</v>
      </c>
      <c r="C84" t="s">
        <v>197</v>
      </c>
      <c r="D84" s="337">
        <v>4</v>
      </c>
      <c r="E84" s="337">
        <v>0</v>
      </c>
      <c r="F84" s="338">
        <v>10</v>
      </c>
      <c r="G84" s="331"/>
      <c r="H84" s="36" t="b">
        <f t="shared" ref="H84:H89" si="3">OR(D84&gt;=$C$80,F84&lt;=$F$80)</f>
        <v>1</v>
      </c>
    </row>
    <row r="85" spans="1:9" x14ac:dyDescent="0.35">
      <c r="B85" s="35" t="s">
        <v>198</v>
      </c>
      <c r="C85" t="s">
        <v>197</v>
      </c>
      <c r="D85" s="337">
        <v>9</v>
      </c>
      <c r="E85" s="337">
        <v>0</v>
      </c>
      <c r="F85" s="338">
        <v>10</v>
      </c>
      <c r="G85" s="331"/>
      <c r="H85" s="36" t="b">
        <f t="shared" si="3"/>
        <v>1</v>
      </c>
    </row>
    <row r="86" spans="1:9" x14ac:dyDescent="0.35">
      <c r="B86" s="35" t="s">
        <v>200</v>
      </c>
      <c r="C86" t="s">
        <v>201</v>
      </c>
      <c r="D86" s="339">
        <v>5</v>
      </c>
      <c r="E86" s="339">
        <v>100000000</v>
      </c>
      <c r="F86" s="340">
        <v>1</v>
      </c>
      <c r="G86" s="331"/>
      <c r="H86" s="36" t="b">
        <f>OR(D86&gt;=$C$80,F86&lt;=$F$80)</f>
        <v>1</v>
      </c>
    </row>
    <row r="87" spans="1:9" x14ac:dyDescent="0.35">
      <c r="B87" s="35" t="s">
        <v>204</v>
      </c>
      <c r="C87" t="s">
        <v>205</v>
      </c>
      <c r="D87" s="339">
        <v>10</v>
      </c>
      <c r="E87" s="339">
        <v>0</v>
      </c>
      <c r="F87" s="340">
        <v>0</v>
      </c>
      <c r="G87" s="331"/>
      <c r="H87" s="36" t="b">
        <f t="shared" si="3"/>
        <v>1</v>
      </c>
    </row>
    <row r="88" spans="1:9" x14ac:dyDescent="0.35">
      <c r="B88" s="35" t="s">
        <v>206</v>
      </c>
      <c r="C88" t="s">
        <v>193</v>
      </c>
      <c r="D88" s="339">
        <v>1</v>
      </c>
      <c r="E88" s="339">
        <v>12</v>
      </c>
      <c r="F88" s="340">
        <v>0</v>
      </c>
      <c r="G88" s="331"/>
      <c r="H88" s="36" t="b">
        <f t="shared" si="3"/>
        <v>1</v>
      </c>
    </row>
    <row r="89" spans="1:9" x14ac:dyDescent="0.35">
      <c r="B89" s="37" t="s">
        <v>207</v>
      </c>
      <c r="C89" s="38" t="s">
        <v>197</v>
      </c>
      <c r="D89" s="341">
        <v>3</v>
      </c>
      <c r="E89" s="341">
        <v>1</v>
      </c>
      <c r="F89" s="342">
        <v>4218</v>
      </c>
      <c r="G89" s="331"/>
      <c r="H89" s="39" t="b">
        <f t="shared" si="3"/>
        <v>0</v>
      </c>
    </row>
    <row r="90" spans="1:9" x14ac:dyDescent="0.35">
      <c r="D90" s="343"/>
      <c r="E90" s="343"/>
      <c r="F90" s="343"/>
    </row>
    <row r="91" spans="1:9" s="6" customFormat="1" ht="18.5" x14ac:dyDescent="0.45">
      <c r="A91" s="7"/>
      <c r="B91" s="40" t="s">
        <v>789</v>
      </c>
      <c r="C91" s="41"/>
      <c r="D91" s="346"/>
      <c r="E91" s="346"/>
      <c r="F91" s="347"/>
      <c r="G91" s="41"/>
      <c r="H91" s="41"/>
    </row>
    <row r="92" spans="1:9" x14ac:dyDescent="0.35">
      <c r="B92" s="1" t="str">
        <f>"Let's flag all the cases where the scariness is "&amp;C93&amp;" or more and the threat is within "&amp;F93&amp;" KM"</f>
        <v>Let's flag all the cases where the scariness is 5 or more and the threat is within 10 KM</v>
      </c>
      <c r="C92" s="1"/>
      <c r="D92" s="348"/>
      <c r="E92" s="339"/>
      <c r="F92" s="339"/>
      <c r="G92" s="16"/>
    </row>
    <row r="93" spans="1:9" x14ac:dyDescent="0.35">
      <c r="B93" s="334" t="s">
        <v>210</v>
      </c>
      <c r="C93" s="32">
        <v>5</v>
      </c>
      <c r="D93" s="348"/>
      <c r="E93" s="349" t="s">
        <v>194</v>
      </c>
      <c r="F93" s="350">
        <v>10</v>
      </c>
      <c r="G93" s="16"/>
    </row>
    <row r="94" spans="1:9" x14ac:dyDescent="0.35">
      <c r="B94" s="1"/>
      <c r="C94" s="1"/>
      <c r="D94" s="348"/>
      <c r="E94" s="339"/>
      <c r="F94" s="339"/>
      <c r="G94" s="16"/>
    </row>
    <row r="95" spans="1:9" ht="29" x14ac:dyDescent="0.35">
      <c r="B95" s="33" t="s">
        <v>202</v>
      </c>
      <c r="C95" s="34" t="s">
        <v>195</v>
      </c>
      <c r="D95" s="344" t="s">
        <v>208</v>
      </c>
      <c r="E95" s="344" t="s">
        <v>199</v>
      </c>
      <c r="F95" s="345" t="s">
        <v>196</v>
      </c>
      <c r="G95" s="329"/>
      <c r="H95" s="332" t="s">
        <v>790</v>
      </c>
    </row>
    <row r="96" spans="1:9" x14ac:dyDescent="0.35">
      <c r="B96" s="35" t="s">
        <v>192</v>
      </c>
      <c r="C96" t="s">
        <v>193</v>
      </c>
      <c r="D96" s="337">
        <v>5</v>
      </c>
      <c r="E96" s="337">
        <v>1</v>
      </c>
      <c r="F96" s="338">
        <v>2290</v>
      </c>
      <c r="G96" s="330"/>
      <c r="H96" s="36" t="str">
        <f>IF(AND(D96&gt;=$C$93,F96&lt;=$F$93),"I AM CONCERNED","This is fine!")</f>
        <v>This is fine!</v>
      </c>
      <c r="I96" s="4" t="s">
        <v>1302</v>
      </c>
    </row>
    <row r="97" spans="1:9" x14ac:dyDescent="0.35">
      <c r="B97" s="35" t="s">
        <v>203</v>
      </c>
      <c r="C97" t="s">
        <v>197</v>
      </c>
      <c r="D97" s="337">
        <v>4</v>
      </c>
      <c r="E97" s="337">
        <v>0</v>
      </c>
      <c r="F97" s="338">
        <v>10</v>
      </c>
      <c r="G97" s="331"/>
      <c r="H97" s="36" t="str">
        <f t="shared" ref="H97:H102" si="4">IF(AND(D97&gt;=$C$93,F97&lt;=$F$93),"I AM CONCERNED","This is fine!")</f>
        <v>This is fine!</v>
      </c>
    </row>
    <row r="98" spans="1:9" x14ac:dyDescent="0.35">
      <c r="B98" s="35" t="s">
        <v>198</v>
      </c>
      <c r="C98" t="s">
        <v>197</v>
      </c>
      <c r="D98" s="337">
        <v>9</v>
      </c>
      <c r="E98" s="337">
        <v>0</v>
      </c>
      <c r="F98" s="338">
        <v>10</v>
      </c>
      <c r="G98" s="331"/>
      <c r="H98" s="36" t="str">
        <f t="shared" si="4"/>
        <v>I AM CONCERNED</v>
      </c>
    </row>
    <row r="99" spans="1:9" x14ac:dyDescent="0.35">
      <c r="B99" s="35" t="s">
        <v>200</v>
      </c>
      <c r="C99" t="s">
        <v>201</v>
      </c>
      <c r="D99" s="339">
        <v>5</v>
      </c>
      <c r="E99" s="339">
        <v>100000000</v>
      </c>
      <c r="F99" s="340">
        <v>1</v>
      </c>
      <c r="G99" s="331"/>
      <c r="H99" s="36" t="str">
        <f t="shared" si="4"/>
        <v>I AM CONCERNED</v>
      </c>
    </row>
    <row r="100" spans="1:9" x14ac:dyDescent="0.35">
      <c r="B100" s="35" t="s">
        <v>204</v>
      </c>
      <c r="C100" t="s">
        <v>205</v>
      </c>
      <c r="D100" s="339">
        <v>10</v>
      </c>
      <c r="E100" s="339">
        <v>0</v>
      </c>
      <c r="F100" s="340">
        <v>0</v>
      </c>
      <c r="G100" s="331"/>
      <c r="H100" s="36" t="str">
        <f t="shared" si="4"/>
        <v>I AM CONCERNED</v>
      </c>
    </row>
    <row r="101" spans="1:9" x14ac:dyDescent="0.35">
      <c r="B101" s="35" t="s">
        <v>206</v>
      </c>
      <c r="C101" t="s">
        <v>193</v>
      </c>
      <c r="D101" s="339">
        <v>1</v>
      </c>
      <c r="E101" s="339">
        <v>12</v>
      </c>
      <c r="F101" s="340">
        <v>0</v>
      </c>
      <c r="G101" s="331"/>
      <c r="H101" s="36" t="str">
        <f t="shared" si="4"/>
        <v>This is fine!</v>
      </c>
    </row>
    <row r="102" spans="1:9" x14ac:dyDescent="0.35">
      <c r="B102" s="37" t="s">
        <v>207</v>
      </c>
      <c r="C102" s="38" t="s">
        <v>197</v>
      </c>
      <c r="D102" s="341">
        <v>3</v>
      </c>
      <c r="E102" s="341">
        <v>1</v>
      </c>
      <c r="F102" s="342">
        <v>4218</v>
      </c>
      <c r="G102" s="331"/>
      <c r="H102" s="39" t="str">
        <f t="shared" si="4"/>
        <v>This is fine!</v>
      </c>
    </row>
    <row r="104" spans="1:9" s="6" customFormat="1" ht="18.5" x14ac:dyDescent="0.45">
      <c r="A104" s="7"/>
      <c r="B104" s="40" t="s">
        <v>1303</v>
      </c>
      <c r="C104" s="41"/>
      <c r="D104" s="346"/>
      <c r="E104" s="346"/>
      <c r="F104" s="347"/>
      <c r="G104" s="41"/>
      <c r="H104" s="41"/>
    </row>
    <row r="105" spans="1:9" x14ac:dyDescent="0.35">
      <c r="B105" s="1" t="str">
        <f>"Let's flag all the cases where the scariness is "&amp;C106&amp;" or more as very scary and scariness of "&amp;F106&amp;" or more as sort of scary."</f>
        <v>Let's flag all the cases where the scariness is 7 or more as very scary and scariness of 5 or more as sort of scary.</v>
      </c>
      <c r="C105" s="1"/>
      <c r="D105" s="348"/>
      <c r="E105" s="339"/>
      <c r="F105" s="339"/>
      <c r="G105" s="16"/>
    </row>
    <row r="106" spans="1:9" x14ac:dyDescent="0.35">
      <c r="B106" s="334" t="s">
        <v>1304</v>
      </c>
      <c r="C106" s="32">
        <v>7</v>
      </c>
      <c r="D106" s="348"/>
      <c r="E106" s="349" t="s">
        <v>1305</v>
      </c>
      <c r="F106" s="350">
        <v>5</v>
      </c>
      <c r="G106" s="16"/>
    </row>
    <row r="107" spans="1:9" x14ac:dyDescent="0.35">
      <c r="B107" s="1"/>
      <c r="C107" s="1"/>
      <c r="D107" s="348"/>
      <c r="E107" s="339"/>
      <c r="F107" s="339"/>
      <c r="G107" s="16"/>
    </row>
    <row r="108" spans="1:9" ht="29" x14ac:dyDescent="0.35">
      <c r="B108" s="33" t="s">
        <v>202</v>
      </c>
      <c r="C108" s="34" t="s">
        <v>195</v>
      </c>
      <c r="D108" s="344" t="s">
        <v>208</v>
      </c>
      <c r="E108" s="344" t="s">
        <v>199</v>
      </c>
      <c r="F108" s="345" t="s">
        <v>196</v>
      </c>
      <c r="G108" s="329"/>
      <c r="H108" s="332" t="s">
        <v>790</v>
      </c>
    </row>
    <row r="109" spans="1:9" x14ac:dyDescent="0.35">
      <c r="B109" s="35" t="s">
        <v>192</v>
      </c>
      <c r="C109" t="s">
        <v>193</v>
      </c>
      <c r="D109" s="337">
        <v>5</v>
      </c>
      <c r="E109" s="337">
        <v>1</v>
      </c>
      <c r="F109" s="338">
        <v>2290</v>
      </c>
      <c r="G109" s="330"/>
      <c r="H109" s="36" t="str" cm="1">
        <f t="array" ref="H109">_xlfn.IFS(D109&gt;=$C$106,"VERY SCARY",D109&gt;=$F$106,"Sort of scary", TRUE, "This is fine!")</f>
        <v>Sort of scary</v>
      </c>
      <c r="I109" s="4" t="s">
        <v>1306</v>
      </c>
    </row>
    <row r="110" spans="1:9" x14ac:dyDescent="0.35">
      <c r="B110" s="35" t="s">
        <v>203</v>
      </c>
      <c r="C110" t="s">
        <v>197</v>
      </c>
      <c r="D110" s="337">
        <v>4</v>
      </c>
      <c r="E110" s="337">
        <v>0</v>
      </c>
      <c r="F110" s="338">
        <v>10</v>
      </c>
      <c r="G110" s="331"/>
      <c r="H110" s="36" t="str" cm="1">
        <f t="array" ref="H110">_xlfn.IFS(D110&gt;=$C$106,"VERY SCARY",D110&gt;=$F$106,"Sort of scary", TRUE, "This is fine!")</f>
        <v>This is fine!</v>
      </c>
    </row>
    <row r="111" spans="1:9" x14ac:dyDescent="0.35">
      <c r="B111" s="35" t="s">
        <v>198</v>
      </c>
      <c r="C111" t="s">
        <v>197</v>
      </c>
      <c r="D111" s="337">
        <v>9</v>
      </c>
      <c r="E111" s="337">
        <v>0</v>
      </c>
      <c r="F111" s="338">
        <v>10</v>
      </c>
      <c r="G111" s="331"/>
      <c r="H111" s="36" t="str" cm="1">
        <f t="array" ref="H111">_xlfn.IFS(D111&gt;=$C$106,"VERY SCARY",D111&gt;=$F$106,"Sort of scary", TRUE, "This is fine!")</f>
        <v>VERY SCARY</v>
      </c>
    </row>
    <row r="112" spans="1:9" x14ac:dyDescent="0.35">
      <c r="B112" s="35" t="s">
        <v>200</v>
      </c>
      <c r="C112" t="s">
        <v>201</v>
      </c>
      <c r="D112" s="339">
        <v>5</v>
      </c>
      <c r="E112" s="339">
        <v>100000000</v>
      </c>
      <c r="F112" s="340">
        <v>1</v>
      </c>
      <c r="G112" s="331"/>
      <c r="H112" s="36" t="str" cm="1">
        <f t="array" ref="H112">_xlfn.IFS(D112&gt;=$C$106,"VERY SCARY",D112&gt;=$F$106,"Sort of scary", TRUE, "This is fine!")</f>
        <v>Sort of scary</v>
      </c>
    </row>
    <row r="113" spans="2:8" x14ac:dyDescent="0.35">
      <c r="B113" s="35" t="s">
        <v>204</v>
      </c>
      <c r="C113" t="s">
        <v>205</v>
      </c>
      <c r="D113" s="339">
        <v>10</v>
      </c>
      <c r="E113" s="339">
        <v>0</v>
      </c>
      <c r="F113" s="340">
        <v>0</v>
      </c>
      <c r="G113" s="331"/>
      <c r="H113" s="36" t="str" cm="1">
        <f t="array" ref="H113">_xlfn.IFS(D113&gt;=$C$106,"VERY SCARY",D113&gt;=$F$106,"Sort of scary", TRUE, "This is fine!")</f>
        <v>VERY SCARY</v>
      </c>
    </row>
    <row r="114" spans="2:8" x14ac:dyDescent="0.35">
      <c r="B114" s="35" t="s">
        <v>206</v>
      </c>
      <c r="C114" t="s">
        <v>193</v>
      </c>
      <c r="D114" s="339">
        <v>1</v>
      </c>
      <c r="E114" s="339">
        <v>12</v>
      </c>
      <c r="F114" s="340">
        <v>0</v>
      </c>
      <c r="G114" s="331"/>
      <c r="H114" s="36" t="str" cm="1">
        <f t="array" ref="H114">_xlfn.IFS(D114&gt;=$C$106,"VERY SCARY",D114&gt;=$F$106,"Sort of scary", TRUE, "This is fine!")</f>
        <v>This is fine!</v>
      </c>
    </row>
    <row r="115" spans="2:8" x14ac:dyDescent="0.35">
      <c r="B115" s="37" t="s">
        <v>207</v>
      </c>
      <c r="C115" s="38" t="s">
        <v>197</v>
      </c>
      <c r="D115" s="341">
        <v>3</v>
      </c>
      <c r="E115" s="341">
        <v>1</v>
      </c>
      <c r="F115" s="342">
        <v>4218</v>
      </c>
      <c r="G115" s="331"/>
      <c r="H115" s="39" t="str" cm="1">
        <f t="array" ref="H115">_xlfn.IFS(D115&gt;=$C$106,"VERY SCARY",D115&gt;=$F$106,"Sort of scary", TRUE, "This is fine!")</f>
        <v>This is fine!</v>
      </c>
    </row>
  </sheetData>
  <conditionalFormatting sqref="D45:D51">
    <cfRule type="cellIs" dxfId="39" priority="13" operator="greaterThanOrEqual">
      <formula>5</formula>
    </cfRule>
  </conditionalFormatting>
  <conditionalFormatting sqref="D57:D63">
    <cfRule type="expression" dxfId="38" priority="14">
      <formula>D57&gt;=$C$54</formula>
    </cfRule>
  </conditionalFormatting>
  <conditionalFormatting sqref="D70:D76">
    <cfRule type="expression" dxfId="37" priority="12">
      <formula>D70&gt;=$C$67</formula>
    </cfRule>
  </conditionalFormatting>
  <conditionalFormatting sqref="D83:D89">
    <cfRule type="expression" dxfId="36" priority="10">
      <formula>D83&gt;=$C$80</formula>
    </cfRule>
  </conditionalFormatting>
  <conditionalFormatting sqref="D96:D102">
    <cfRule type="expression" dxfId="35" priority="8">
      <formula>D96&gt;=$C$93</formula>
    </cfRule>
  </conditionalFormatting>
  <conditionalFormatting sqref="D109:D115">
    <cfRule type="expression" dxfId="34" priority="1">
      <formula>D109&gt;=$C$106</formula>
    </cfRule>
    <cfRule type="expression" dxfId="33" priority="3">
      <formula>D109&gt;=$F$106</formula>
    </cfRule>
  </conditionalFormatting>
  <conditionalFormatting sqref="F70:F76">
    <cfRule type="expression" dxfId="32" priority="6">
      <formula>F70&lt;=$F$67</formula>
    </cfRule>
  </conditionalFormatting>
  <conditionalFormatting sqref="F83:F89">
    <cfRule type="expression" dxfId="31" priority="5">
      <formula>F83&lt;=$F$80</formula>
    </cfRule>
  </conditionalFormatting>
  <conditionalFormatting sqref="F96:F102">
    <cfRule type="expression" dxfId="30" priority="4">
      <formula>F96&lt;=$F$93</formula>
    </cfRule>
  </conditionalFormatting>
  <hyperlinks>
    <hyperlink ref="B1" location="Menu!A1" display="Main Menu" xr:uid="{9EA6D323-CDE5-4E02-BCE5-E5EDD101232C}"/>
    <hyperlink ref="E1" location="'2_1 Exercise'!A1" display="                                                       " xr:uid="{2F68C643-A391-4AEC-B565-7AD2E19BBF95}"/>
    <hyperlink ref="D1" location="'2_1 Exercise'!A1" display="                " xr:uid="{7A7F1A40-AD49-4115-AE28-87EB45C69547}"/>
    <hyperlink ref="C1" location="'B2 Exercise'!A1" display="              Exercise              " xr:uid="{E343AA0E-A4D7-4BE8-93D1-425F105C0E8A}"/>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31">
    <tabColor rgb="FF002060"/>
  </sheetPr>
  <dimension ref="A1:J44"/>
  <sheetViews>
    <sheetView workbookViewId="0">
      <selection activeCell="B1" sqref="B1"/>
    </sheetView>
  </sheetViews>
  <sheetFormatPr defaultColWidth="11.453125" defaultRowHeight="14.5" x14ac:dyDescent="0.35"/>
  <cols>
    <col min="1" max="1" width="5.6328125" customWidth="1"/>
    <col min="2" max="2" width="23.90625" customWidth="1"/>
    <col min="3" max="3" width="23.453125" customWidth="1"/>
    <col min="4" max="4" width="14.54296875" customWidth="1"/>
    <col min="5" max="5" width="19.6328125" bestFit="1" customWidth="1"/>
    <col min="6" max="6" width="18.90625" customWidth="1"/>
    <col min="7" max="7" width="12.90625" style="23" bestFit="1" customWidth="1"/>
    <col min="8" max="9" width="18.6328125" customWidth="1"/>
  </cols>
  <sheetData>
    <row r="1" spans="1:9" s="50" customFormat="1" ht="18.5" x14ac:dyDescent="0.35">
      <c r="A1" s="87" t="s">
        <v>130</v>
      </c>
      <c r="B1" s="80" t="s">
        <v>243</v>
      </c>
      <c r="C1" s="80" t="s">
        <v>359</v>
      </c>
      <c r="D1" s="50" t="s">
        <v>582</v>
      </c>
      <c r="E1" s="50" t="s">
        <v>581</v>
      </c>
      <c r="G1" s="351"/>
    </row>
    <row r="2" spans="1:9" s="50" customFormat="1" x14ac:dyDescent="0.35">
      <c r="E2" s="83"/>
      <c r="G2" s="351"/>
    </row>
    <row r="3" spans="1:9" s="107" customFormat="1" ht="18.5" x14ac:dyDescent="0.45">
      <c r="A3" s="104" t="s">
        <v>130</v>
      </c>
      <c r="B3" s="105" t="s">
        <v>792</v>
      </c>
      <c r="C3" s="106"/>
      <c r="G3" s="352"/>
    </row>
    <row r="4" spans="1:9" s="50" customFormat="1" x14ac:dyDescent="0.35">
      <c r="B4" s="50" t="s">
        <v>791</v>
      </c>
      <c r="E4" s="83"/>
      <c r="G4" s="351"/>
    </row>
    <row r="5" spans="1:9" s="50" customFormat="1" x14ac:dyDescent="0.35">
      <c r="B5" s="50" t="s">
        <v>793</v>
      </c>
      <c r="E5" s="83"/>
      <c r="G5" s="351"/>
    </row>
    <row r="6" spans="1:9" s="50" customFormat="1" x14ac:dyDescent="0.35">
      <c r="B6" s="50" t="s">
        <v>794</v>
      </c>
      <c r="E6" s="83"/>
      <c r="G6" s="351"/>
    </row>
    <row r="7" spans="1:9" s="50" customFormat="1" x14ac:dyDescent="0.35">
      <c r="E7" s="83"/>
      <c r="G7" s="351"/>
    </row>
    <row r="8" spans="1:9" s="50" customFormat="1" x14ac:dyDescent="0.35">
      <c r="B8" s="50" t="s">
        <v>795</v>
      </c>
      <c r="E8" s="83"/>
      <c r="G8" s="351"/>
    </row>
    <row r="9" spans="1:9" s="50" customFormat="1" x14ac:dyDescent="0.35">
      <c r="B9" s="50" t="s">
        <v>796</v>
      </c>
      <c r="E9" s="83"/>
      <c r="G9" s="351"/>
    </row>
    <row r="10" spans="1:9" s="96" customFormat="1" ht="18.5" x14ac:dyDescent="0.45">
      <c r="A10" s="327" t="s">
        <v>130</v>
      </c>
      <c r="B10" s="41" t="s">
        <v>505</v>
      </c>
      <c r="C10" s="41"/>
      <c r="D10" s="41"/>
      <c r="E10" s="41"/>
      <c r="F10" s="41"/>
      <c r="G10" s="356"/>
    </row>
    <row r="11" spans="1:9" ht="29" x14ac:dyDescent="0.35">
      <c r="B11" s="357"/>
      <c r="C11" s="358" t="s">
        <v>799</v>
      </c>
      <c r="D11" s="359"/>
      <c r="E11" s="358" t="s">
        <v>800</v>
      </c>
      <c r="F11" s="359"/>
      <c r="G11" s="360" t="s">
        <v>801</v>
      </c>
    </row>
    <row r="12" spans="1:9" x14ac:dyDescent="0.35">
      <c r="B12" s="361" t="s">
        <v>797</v>
      </c>
      <c r="C12" s="362">
        <v>5</v>
      </c>
      <c r="D12" s="363" t="s">
        <v>802</v>
      </c>
      <c r="E12" s="362">
        <v>1</v>
      </c>
      <c r="F12" s="363" t="s">
        <v>802</v>
      </c>
      <c r="G12" s="364">
        <v>10</v>
      </c>
    </row>
    <row r="13" spans="1:9" x14ac:dyDescent="0.35">
      <c r="B13" s="365" t="s">
        <v>798</v>
      </c>
      <c r="C13" s="366">
        <v>8</v>
      </c>
      <c r="D13" s="367" t="s">
        <v>803</v>
      </c>
      <c r="E13" s="366">
        <v>50</v>
      </c>
      <c r="F13" s="367" t="s">
        <v>803</v>
      </c>
      <c r="G13" s="368">
        <v>10</v>
      </c>
    </row>
    <row r="14" spans="1:9" x14ac:dyDescent="0.35">
      <c r="G14"/>
    </row>
    <row r="15" spans="1:9" s="96" customFormat="1" ht="18.5" x14ac:dyDescent="0.45">
      <c r="A15" s="327" t="s">
        <v>130</v>
      </c>
      <c r="B15" s="41" t="s">
        <v>804</v>
      </c>
      <c r="C15" s="41"/>
      <c r="D15" s="41"/>
      <c r="E15" s="41"/>
      <c r="F15" s="41"/>
      <c r="H15" s="41" t="s">
        <v>805</v>
      </c>
      <c r="I15" s="41"/>
    </row>
    <row r="16" spans="1:9" ht="29" x14ac:dyDescent="0.35">
      <c r="B16" s="33" t="s">
        <v>202</v>
      </c>
      <c r="C16" s="34" t="s">
        <v>195</v>
      </c>
      <c r="D16" s="34" t="s">
        <v>208</v>
      </c>
      <c r="E16" s="34" t="s">
        <v>199</v>
      </c>
      <c r="F16" s="42" t="s">
        <v>196</v>
      </c>
      <c r="G16" s="28"/>
      <c r="H16" s="178" t="s">
        <v>212</v>
      </c>
      <c r="I16" s="178" t="s">
        <v>213</v>
      </c>
    </row>
    <row r="17" spans="1:10" x14ac:dyDescent="0.35">
      <c r="B17" s="35" t="s">
        <v>192</v>
      </c>
      <c r="C17" t="s">
        <v>193</v>
      </c>
      <c r="D17" s="337">
        <v>5</v>
      </c>
      <c r="E17" s="337">
        <v>1</v>
      </c>
      <c r="F17" s="338">
        <v>2290</v>
      </c>
      <c r="G17" s="353"/>
      <c r="H17" s="43"/>
      <c r="I17" s="47"/>
    </row>
    <row r="18" spans="1:10" x14ac:dyDescent="0.35">
      <c r="B18" s="35" t="s">
        <v>203</v>
      </c>
      <c r="C18" t="s">
        <v>197</v>
      </c>
      <c r="D18" s="337">
        <v>4</v>
      </c>
      <c r="E18" s="337">
        <v>0</v>
      </c>
      <c r="F18" s="338">
        <v>10</v>
      </c>
      <c r="G18" s="354"/>
      <c r="H18" s="43"/>
      <c r="I18" s="46"/>
      <c r="J18" s="48" t="s">
        <v>229</v>
      </c>
    </row>
    <row r="19" spans="1:10" x14ac:dyDescent="0.35">
      <c r="B19" s="35" t="s">
        <v>198</v>
      </c>
      <c r="C19" t="s">
        <v>197</v>
      </c>
      <c r="D19" s="337">
        <v>9</v>
      </c>
      <c r="E19" s="337">
        <v>0</v>
      </c>
      <c r="F19" s="338">
        <v>10</v>
      </c>
      <c r="G19" s="354"/>
      <c r="H19" s="43"/>
      <c r="I19" s="46"/>
      <c r="J19" s="48" t="s">
        <v>229</v>
      </c>
    </row>
    <row r="20" spans="1:10" x14ac:dyDescent="0.35">
      <c r="B20" s="35" t="s">
        <v>200</v>
      </c>
      <c r="C20" t="s">
        <v>201</v>
      </c>
      <c r="D20" s="339">
        <v>5</v>
      </c>
      <c r="E20" s="339">
        <v>100000000</v>
      </c>
      <c r="F20" s="340">
        <v>1</v>
      </c>
      <c r="G20" s="355" t="s">
        <v>228</v>
      </c>
      <c r="H20" s="45"/>
      <c r="I20" s="46"/>
      <c r="J20" s="48" t="s">
        <v>229</v>
      </c>
    </row>
    <row r="21" spans="1:10" x14ac:dyDescent="0.35">
      <c r="B21" s="35" t="s">
        <v>204</v>
      </c>
      <c r="C21" t="s">
        <v>205</v>
      </c>
      <c r="D21" s="339">
        <v>10</v>
      </c>
      <c r="E21" s="339">
        <v>0</v>
      </c>
      <c r="F21" s="340">
        <v>0</v>
      </c>
      <c r="G21" s="354"/>
      <c r="H21" s="43"/>
      <c r="I21" s="46"/>
      <c r="J21" s="48" t="s">
        <v>229</v>
      </c>
    </row>
    <row r="22" spans="1:10" x14ac:dyDescent="0.35">
      <c r="B22" s="35" t="s">
        <v>206</v>
      </c>
      <c r="C22" t="s">
        <v>193</v>
      </c>
      <c r="D22" s="339">
        <v>1</v>
      </c>
      <c r="E22" s="339">
        <v>12</v>
      </c>
      <c r="F22" s="340">
        <v>0</v>
      </c>
      <c r="G22" s="354"/>
      <c r="H22" s="43"/>
      <c r="I22" s="46"/>
      <c r="J22" s="48" t="s">
        <v>229</v>
      </c>
    </row>
    <row r="23" spans="1:10" x14ac:dyDescent="0.35">
      <c r="B23" s="37" t="s">
        <v>207</v>
      </c>
      <c r="C23" s="38" t="s">
        <v>197</v>
      </c>
      <c r="D23" s="341">
        <v>3</v>
      </c>
      <c r="E23" s="341">
        <v>1</v>
      </c>
      <c r="F23" s="342">
        <v>4218</v>
      </c>
      <c r="G23" s="354"/>
      <c r="H23" s="43"/>
      <c r="I23" s="44"/>
    </row>
    <row r="25" spans="1:10" s="107" customFormat="1" ht="18.5" x14ac:dyDescent="0.45">
      <c r="A25" s="104" t="s">
        <v>130</v>
      </c>
      <c r="B25" s="105" t="s">
        <v>1308</v>
      </c>
      <c r="C25" s="106"/>
      <c r="G25" s="352"/>
    </row>
    <row r="26" spans="1:10" s="50" customFormat="1" x14ac:dyDescent="0.35">
      <c r="B26" s="50" t="s">
        <v>1309</v>
      </c>
      <c r="G26" s="351"/>
    </row>
    <row r="27" spans="1:10" s="50" customFormat="1" x14ac:dyDescent="0.35">
      <c r="B27" s="50" t="s">
        <v>1310</v>
      </c>
      <c r="G27" s="351"/>
    </row>
    <row r="28" spans="1:10" s="50" customFormat="1" x14ac:dyDescent="0.35">
      <c r="B28" s="50" t="s">
        <v>1311</v>
      </c>
      <c r="G28" s="351"/>
    </row>
    <row r="29" spans="1:10" s="50" customFormat="1" x14ac:dyDescent="0.35">
      <c r="B29" s="50" t="s">
        <v>1319</v>
      </c>
      <c r="G29" s="351"/>
    </row>
    <row r="30" spans="1:10" s="96" customFormat="1" ht="18.5" x14ac:dyDescent="0.45">
      <c r="A30" s="327" t="s">
        <v>130</v>
      </c>
      <c r="B30" s="41" t="s">
        <v>505</v>
      </c>
      <c r="C30" s="41"/>
      <c r="D30" s="41"/>
    </row>
    <row r="31" spans="1:10" x14ac:dyDescent="0.35">
      <c r="B31" s="494" t="s">
        <v>1313</v>
      </c>
      <c r="C31" s="492" t="s">
        <v>1314</v>
      </c>
      <c r="D31" s="490" t="s">
        <v>1315</v>
      </c>
    </row>
    <row r="32" spans="1:10" x14ac:dyDescent="0.35">
      <c r="B32" s="491" t="s">
        <v>1321</v>
      </c>
      <c r="C32" s="498" t="s">
        <v>201</v>
      </c>
      <c r="D32" s="489" t="s">
        <v>1312</v>
      </c>
    </row>
    <row r="33" spans="1:9" ht="29" x14ac:dyDescent="0.35">
      <c r="B33" s="496" t="s">
        <v>1324</v>
      </c>
      <c r="C33" s="499">
        <v>6</v>
      </c>
      <c r="D33" s="497" t="s">
        <v>1316</v>
      </c>
    </row>
    <row r="34" spans="1:9" x14ac:dyDescent="0.35">
      <c r="B34" s="491" t="s">
        <v>1317</v>
      </c>
      <c r="C34" s="493"/>
      <c r="D34" s="489" t="s">
        <v>1318</v>
      </c>
    </row>
    <row r="36" spans="1:9" s="96" customFormat="1" ht="18.5" x14ac:dyDescent="0.45">
      <c r="A36" s="327" t="s">
        <v>130</v>
      </c>
      <c r="B36" s="41" t="s">
        <v>804</v>
      </c>
      <c r="C36" s="41"/>
      <c r="D36" s="41"/>
      <c r="E36" s="41"/>
      <c r="F36" s="41"/>
      <c r="H36" s="500" t="s">
        <v>1322</v>
      </c>
    </row>
    <row r="37" spans="1:9" ht="29" x14ac:dyDescent="0.35">
      <c r="B37" s="33" t="s">
        <v>202</v>
      </c>
      <c r="C37" s="34" t="s">
        <v>195</v>
      </c>
      <c r="D37" s="34" t="s">
        <v>208</v>
      </c>
      <c r="E37" s="34" t="s">
        <v>199</v>
      </c>
      <c r="F37" s="42" t="s">
        <v>196</v>
      </c>
      <c r="G37" s="28"/>
      <c r="H37" s="495" t="s">
        <v>1323</v>
      </c>
    </row>
    <row r="38" spans="1:9" x14ac:dyDescent="0.35">
      <c r="B38" s="35" t="s">
        <v>192</v>
      </c>
      <c r="C38" t="s">
        <v>193</v>
      </c>
      <c r="D38" s="337">
        <v>5</v>
      </c>
      <c r="E38" s="337">
        <v>1</v>
      </c>
      <c r="F38" s="338">
        <v>2290</v>
      </c>
      <c r="G38" s="353"/>
      <c r="H38" s="489"/>
    </row>
    <row r="39" spans="1:9" x14ac:dyDescent="0.35">
      <c r="B39" s="35" t="s">
        <v>203</v>
      </c>
      <c r="C39" t="s">
        <v>197</v>
      </c>
      <c r="D39" s="337">
        <v>4</v>
      </c>
      <c r="E39" s="337">
        <v>0</v>
      </c>
      <c r="F39" s="338">
        <v>10</v>
      </c>
      <c r="G39" s="354"/>
      <c r="H39" s="489"/>
    </row>
    <row r="40" spans="1:9" x14ac:dyDescent="0.35">
      <c r="B40" s="35" t="s">
        <v>198</v>
      </c>
      <c r="C40" t="s">
        <v>197</v>
      </c>
      <c r="D40" s="337">
        <v>9</v>
      </c>
      <c r="E40" s="337">
        <v>0</v>
      </c>
      <c r="F40" s="338">
        <v>10</v>
      </c>
      <c r="G40" s="354"/>
      <c r="H40" s="45"/>
      <c r="I40" s="48" t="s">
        <v>229</v>
      </c>
    </row>
    <row r="41" spans="1:9" x14ac:dyDescent="0.35">
      <c r="B41" s="35" t="s">
        <v>200</v>
      </c>
      <c r="C41" t="s">
        <v>201</v>
      </c>
      <c r="D41" s="339">
        <v>5</v>
      </c>
      <c r="E41" s="339">
        <v>100000000</v>
      </c>
      <c r="F41" s="340">
        <v>1</v>
      </c>
      <c r="G41" s="355" t="s">
        <v>228</v>
      </c>
      <c r="H41" s="46"/>
    </row>
    <row r="42" spans="1:9" x14ac:dyDescent="0.35">
      <c r="B42" s="35" t="s">
        <v>204</v>
      </c>
      <c r="C42" t="s">
        <v>205</v>
      </c>
      <c r="D42" s="339">
        <v>10</v>
      </c>
      <c r="E42" s="339">
        <v>0</v>
      </c>
      <c r="F42" s="340">
        <v>0</v>
      </c>
      <c r="G42" s="354"/>
      <c r="H42" s="45"/>
      <c r="I42" s="48" t="s">
        <v>229</v>
      </c>
    </row>
    <row r="43" spans="1:9" x14ac:dyDescent="0.35">
      <c r="B43" s="35" t="s">
        <v>206</v>
      </c>
      <c r="C43" t="s">
        <v>193</v>
      </c>
      <c r="D43" s="339">
        <v>1</v>
      </c>
      <c r="E43" s="339">
        <v>12</v>
      </c>
      <c r="F43" s="340">
        <v>0</v>
      </c>
      <c r="G43" s="354"/>
      <c r="H43" s="489"/>
    </row>
    <row r="44" spans="1:9" x14ac:dyDescent="0.35">
      <c r="B44" s="37" t="s">
        <v>207</v>
      </c>
      <c r="C44" s="38" t="s">
        <v>197</v>
      </c>
      <c r="D44" s="341">
        <v>3</v>
      </c>
      <c r="E44" s="341">
        <v>1</v>
      </c>
      <c r="F44" s="342">
        <v>4218</v>
      </c>
      <c r="G44" s="354"/>
      <c r="H44" s="489"/>
    </row>
  </sheetData>
  <hyperlinks>
    <hyperlink ref="B1" location="Menu!A1" display="Main Menu" xr:uid="{441C225F-6424-4C0E-A46B-37AD2AC7D676}"/>
    <hyperlink ref="E1" location="'2_1 Exercise'!A1" display="                                                       " xr:uid="{2FF7CDF1-86A4-415E-929A-E67409CB341A}"/>
    <hyperlink ref="D1" location="'2_1 Exercise'!A1" display="                " xr:uid="{0C42F8E0-0F79-418D-8FE4-FA4B668611D7}"/>
    <hyperlink ref="C1" location="'B2 Instructions'!A1" display="Instructions" xr:uid="{0C7AFC20-79B5-47F8-A6A1-7FEAB8598A88}"/>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tabColor rgb="FFFFFF00"/>
  </sheetPr>
  <dimension ref="A1:G43"/>
  <sheetViews>
    <sheetView workbookViewId="0">
      <selection activeCell="B1" sqref="B1"/>
    </sheetView>
  </sheetViews>
  <sheetFormatPr defaultColWidth="11.453125" defaultRowHeight="14.5" x14ac:dyDescent="0.35"/>
  <cols>
    <col min="1" max="1" width="6.54296875" customWidth="1"/>
    <col min="2" max="4" width="23.453125" style="2" customWidth="1"/>
    <col min="5" max="5" width="6" style="2" customWidth="1"/>
    <col min="6" max="6" width="18.6328125" style="2" customWidth="1"/>
    <col min="7" max="7" width="18.6328125" customWidth="1"/>
    <col min="8" max="8" width="32.36328125" customWidth="1"/>
    <col min="9" max="9" width="14" customWidth="1"/>
  </cols>
  <sheetData>
    <row r="1" spans="1:5" s="50" customFormat="1" ht="18.5" x14ac:dyDescent="0.35">
      <c r="A1" s="87" t="s">
        <v>130</v>
      </c>
      <c r="B1" s="80" t="s">
        <v>243</v>
      </c>
      <c r="D1" s="50" t="s">
        <v>582</v>
      </c>
      <c r="E1" s="50" t="s">
        <v>581</v>
      </c>
    </row>
    <row r="2" spans="1:5" s="50" customFormat="1" ht="15" thickBot="1" x14ac:dyDescent="0.4">
      <c r="B2" s="83"/>
    </row>
    <row r="3" spans="1:5" s="50" customFormat="1" ht="18.75" customHeight="1" x14ac:dyDescent="0.45">
      <c r="B3" s="114"/>
      <c r="C3" s="77" t="s">
        <v>1246</v>
      </c>
      <c r="D3" s="57"/>
    </row>
    <row r="4" spans="1:5" s="50" customFormat="1" ht="18.5" x14ac:dyDescent="0.45">
      <c r="B4" s="116"/>
      <c r="C4" s="49"/>
      <c r="D4" s="60"/>
    </row>
    <row r="5" spans="1:5" s="50" customFormat="1" ht="15.5" x14ac:dyDescent="0.35">
      <c r="B5" s="116"/>
      <c r="C5" s="85" t="s">
        <v>234</v>
      </c>
      <c r="D5" s="60"/>
    </row>
    <row r="6" spans="1:5" s="50" customFormat="1" x14ac:dyDescent="0.35">
      <c r="B6" s="116"/>
      <c r="C6" s="78" t="s">
        <v>806</v>
      </c>
      <c r="D6" s="60"/>
    </row>
    <row r="7" spans="1:5" s="50" customFormat="1" x14ac:dyDescent="0.35">
      <c r="B7" s="116"/>
      <c r="C7" s="78" t="s">
        <v>807</v>
      </c>
      <c r="D7" s="60"/>
    </row>
    <row r="8" spans="1:5" s="50" customFormat="1" x14ac:dyDescent="0.35">
      <c r="B8" s="116"/>
      <c r="C8" s="78"/>
      <c r="D8" s="60"/>
    </row>
    <row r="9" spans="1:5" s="50" customFormat="1" ht="15.5" x14ac:dyDescent="0.35">
      <c r="B9" s="116"/>
      <c r="C9" s="85" t="s">
        <v>372</v>
      </c>
      <c r="D9" s="60"/>
    </row>
    <row r="10" spans="1:5" s="50" customFormat="1" x14ac:dyDescent="0.35">
      <c r="B10" s="115"/>
      <c r="C10" s="78" t="s">
        <v>808</v>
      </c>
      <c r="D10" s="60"/>
    </row>
    <row r="11" spans="1:5" s="50" customFormat="1" x14ac:dyDescent="0.35">
      <c r="B11" s="115"/>
      <c r="C11" s="78"/>
      <c r="D11" s="60"/>
    </row>
    <row r="12" spans="1:5" s="50" customFormat="1" ht="15.5" x14ac:dyDescent="0.35">
      <c r="B12" s="115"/>
      <c r="C12" s="85" t="s">
        <v>237</v>
      </c>
      <c r="D12" s="60"/>
    </row>
    <row r="13" spans="1:5" s="50" customFormat="1" x14ac:dyDescent="0.35">
      <c r="B13" s="115"/>
      <c r="C13" s="78" t="s">
        <v>414</v>
      </c>
      <c r="D13" s="60"/>
    </row>
    <row r="14" spans="1:5" s="50" customFormat="1" ht="15" thickBot="1" x14ac:dyDescent="0.4">
      <c r="B14" s="86"/>
      <c r="C14" s="63"/>
      <c r="D14" s="65"/>
    </row>
    <row r="15" spans="1:5" s="50" customFormat="1" x14ac:dyDescent="0.35">
      <c r="B15" s="83"/>
    </row>
    <row r="16" spans="1:5" s="101" customFormat="1" ht="18.5" x14ac:dyDescent="0.45">
      <c r="A16" s="98" t="s">
        <v>130</v>
      </c>
      <c r="B16" s="99" t="s">
        <v>238</v>
      </c>
      <c r="C16" s="100"/>
    </row>
    <row r="17" spans="1:7" s="50" customFormat="1" x14ac:dyDescent="0.35">
      <c r="A17" s="87"/>
      <c r="B17" s="50" t="s">
        <v>216</v>
      </c>
    </row>
    <row r="18" spans="1:7" s="50" customFormat="1" x14ac:dyDescent="0.35">
      <c r="A18" s="87"/>
      <c r="C18" s="287"/>
    </row>
    <row r="19" spans="1:7" s="97" customFormat="1" ht="18.5" x14ac:dyDescent="0.45">
      <c r="A19" s="93" t="s">
        <v>130</v>
      </c>
      <c r="B19" s="40" t="s">
        <v>809</v>
      </c>
      <c r="C19" s="41"/>
      <c r="D19" s="40"/>
    </row>
    <row r="20" spans="1:7" x14ac:dyDescent="0.35">
      <c r="B20" s="227" t="s">
        <v>218</v>
      </c>
      <c r="C20" s="372" t="s">
        <v>220</v>
      </c>
      <c r="D20" s="373" t="s">
        <v>217</v>
      </c>
      <c r="E20" s="11"/>
      <c r="G20" s="16"/>
    </row>
    <row r="21" spans="1:7" x14ac:dyDescent="0.35">
      <c r="B21" s="374"/>
      <c r="C21" s="375"/>
      <c r="D21" s="221" t="s">
        <v>223</v>
      </c>
      <c r="E21" s="11"/>
      <c r="G21" s="2"/>
    </row>
    <row r="22" spans="1:7" x14ac:dyDescent="0.35">
      <c r="B22" s="219" t="s">
        <v>219</v>
      </c>
      <c r="C22" s="220"/>
      <c r="D22" s="221" t="s">
        <v>224</v>
      </c>
      <c r="G22" s="2"/>
    </row>
    <row r="23" spans="1:7" x14ac:dyDescent="0.35">
      <c r="B23" s="219" t="s">
        <v>226</v>
      </c>
      <c r="C23" s="220" t="s">
        <v>221</v>
      </c>
      <c r="D23" s="221" t="s">
        <v>225</v>
      </c>
      <c r="G23" s="16"/>
    </row>
    <row r="24" spans="1:7" x14ac:dyDescent="0.35">
      <c r="B24" s="222" t="s">
        <v>222</v>
      </c>
      <c r="C24" s="223" t="s">
        <v>222</v>
      </c>
      <c r="D24" s="224" t="s">
        <v>222</v>
      </c>
      <c r="G24" s="16"/>
    </row>
    <row r="25" spans="1:7" x14ac:dyDescent="0.35">
      <c r="G25" s="16"/>
    </row>
    <row r="26" spans="1:7" x14ac:dyDescent="0.35">
      <c r="B26" s="376" t="s">
        <v>810</v>
      </c>
      <c r="C26" s="377" t="s">
        <v>811</v>
      </c>
      <c r="D26" s="378" t="s">
        <v>812</v>
      </c>
    </row>
    <row r="27" spans="1:7" s="2" customFormat="1" x14ac:dyDescent="0.35">
      <c r="B27" s="369">
        <f>COUNTA(B20:B24)</f>
        <v>4</v>
      </c>
      <c r="C27" s="370">
        <f>COUNTA(C20:C24)</f>
        <v>3</v>
      </c>
      <c r="D27" s="371">
        <f>COUNTA(D20:D24)</f>
        <v>5</v>
      </c>
    </row>
    <row r="28" spans="1:7" x14ac:dyDescent="0.35">
      <c r="C28" s="3"/>
    </row>
    <row r="29" spans="1:7" s="101" customFormat="1" ht="18.5" x14ac:dyDescent="0.45">
      <c r="A29" s="98" t="s">
        <v>130</v>
      </c>
      <c r="B29" s="99" t="s">
        <v>256</v>
      </c>
      <c r="C29" s="100"/>
    </row>
    <row r="30" spans="1:7" s="50" customFormat="1" x14ac:dyDescent="0.35">
      <c r="B30" s="83"/>
    </row>
    <row r="31" spans="1:7" s="94" customFormat="1" ht="18.5" x14ac:dyDescent="0.35">
      <c r="A31" s="93" t="s">
        <v>130</v>
      </c>
      <c r="B31" s="94" t="s">
        <v>814</v>
      </c>
    </row>
    <row r="33" spans="1:2" x14ac:dyDescent="0.35">
      <c r="A33" s="103"/>
      <c r="B33" s="2" t="s">
        <v>815</v>
      </c>
    </row>
    <row r="34" spans="1:2" x14ac:dyDescent="0.35">
      <c r="B34" s="2" t="s">
        <v>1325</v>
      </c>
    </row>
    <row r="36" spans="1:2" x14ac:dyDescent="0.35">
      <c r="B36" s="379" t="s">
        <v>816</v>
      </c>
    </row>
    <row r="37" spans="1:2" x14ac:dyDescent="0.35">
      <c r="B37" s="380" t="s">
        <v>813</v>
      </c>
    </row>
    <row r="38" spans="1:2" x14ac:dyDescent="0.35">
      <c r="B38" s="381" t="s">
        <v>819</v>
      </c>
    </row>
    <row r="39" spans="1:2" x14ac:dyDescent="0.35">
      <c r="B39" s="381" t="s">
        <v>817</v>
      </c>
    </row>
    <row r="40" spans="1:2" x14ac:dyDescent="0.35">
      <c r="B40" s="211" t="s">
        <v>818</v>
      </c>
    </row>
    <row r="42" spans="1:2" x14ac:dyDescent="0.35">
      <c r="B42" s="382" t="s">
        <v>820</v>
      </c>
    </row>
    <row r="43" spans="1:2" x14ac:dyDescent="0.35">
      <c r="B43" s="383">
        <f>COUNTA(B36:B40)</f>
        <v>5</v>
      </c>
    </row>
  </sheetData>
  <hyperlinks>
    <hyperlink ref="B1" location="Menu!A1" display="Main Menu" xr:uid="{106708D2-8DA3-42A7-BD33-205FD841C573}"/>
    <hyperlink ref="E1" location="'2_1 Exercise'!A1" display="                                                       " xr:uid="{20BC151F-C71B-4C09-90DF-20CCFD338997}"/>
    <hyperlink ref="D1" location="'2_1 Exercise'!A1" display="                " xr:uid="{6BFB5B51-7050-4630-A7A4-624C4A3E3D2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13">
    <tabColor rgb="FFFFFF00"/>
  </sheetPr>
  <dimension ref="A1:H84"/>
  <sheetViews>
    <sheetView topLeftCell="A62" workbookViewId="0"/>
  </sheetViews>
  <sheetFormatPr defaultColWidth="11.453125" defaultRowHeight="14.5" x14ac:dyDescent="0.35"/>
  <cols>
    <col min="1" max="1" width="6.54296875" customWidth="1"/>
    <col min="2" max="5" width="23.453125" style="2" customWidth="1"/>
    <col min="6" max="6" width="23.453125" customWidth="1"/>
  </cols>
  <sheetData>
    <row r="1" spans="1:4" s="50" customFormat="1" ht="18.5" x14ac:dyDescent="0.35">
      <c r="A1" s="87" t="s">
        <v>130</v>
      </c>
      <c r="B1" s="80" t="s">
        <v>243</v>
      </c>
      <c r="C1" s="80" t="s">
        <v>244</v>
      </c>
      <c r="D1" s="113" t="s">
        <v>245</v>
      </c>
    </row>
    <row r="2" spans="1:4" s="50" customFormat="1" ht="15" thickBot="1" x14ac:dyDescent="0.4">
      <c r="B2" s="83"/>
    </row>
    <row r="3" spans="1:4" s="50" customFormat="1" ht="18.5" x14ac:dyDescent="0.45">
      <c r="B3" s="114"/>
      <c r="C3" s="77" t="s">
        <v>1248</v>
      </c>
      <c r="D3" s="57"/>
    </row>
    <row r="4" spans="1:4" s="50" customFormat="1" x14ac:dyDescent="0.35">
      <c r="B4" s="116"/>
      <c r="C4" s="54"/>
      <c r="D4" s="60"/>
    </row>
    <row r="5" spans="1:4" s="50" customFormat="1" ht="15.5" x14ac:dyDescent="0.35">
      <c r="B5" s="116"/>
      <c r="C5" s="85" t="s">
        <v>234</v>
      </c>
      <c r="D5" s="60"/>
    </row>
    <row r="6" spans="1:4" s="50" customFormat="1" x14ac:dyDescent="0.35">
      <c r="B6" s="116"/>
      <c r="C6" s="78" t="s">
        <v>513</v>
      </c>
      <c r="D6" s="60"/>
    </row>
    <row r="7" spans="1:4" s="50" customFormat="1" x14ac:dyDescent="0.35">
      <c r="B7" s="115"/>
      <c r="C7" s="78" t="s">
        <v>494</v>
      </c>
      <c r="D7" s="60"/>
    </row>
    <row r="8" spans="1:4" s="50" customFormat="1" x14ac:dyDescent="0.35">
      <c r="B8" s="115"/>
      <c r="C8" s="78"/>
      <c r="D8" s="60"/>
    </row>
    <row r="9" spans="1:4" s="50" customFormat="1" x14ac:dyDescent="0.35">
      <c r="B9" s="115"/>
      <c r="C9" s="54" t="s">
        <v>372</v>
      </c>
      <c r="D9" s="60"/>
    </row>
    <row r="10" spans="1:4" s="50" customFormat="1" x14ac:dyDescent="0.35">
      <c r="B10" s="115"/>
      <c r="C10" s="78" t="s">
        <v>495</v>
      </c>
      <c r="D10" s="60"/>
    </row>
    <row r="11" spans="1:4" s="50" customFormat="1" x14ac:dyDescent="0.35">
      <c r="B11" s="115"/>
      <c r="C11" s="78"/>
      <c r="D11" s="60"/>
    </row>
    <row r="12" spans="1:4" s="50" customFormat="1" x14ac:dyDescent="0.35">
      <c r="B12" s="115"/>
      <c r="C12" s="54" t="s">
        <v>373</v>
      </c>
      <c r="D12" s="60"/>
    </row>
    <row r="13" spans="1:4" s="50" customFormat="1" x14ac:dyDescent="0.35">
      <c r="B13" s="115"/>
      <c r="C13" s="78" t="s">
        <v>414</v>
      </c>
      <c r="D13" s="60"/>
    </row>
    <row r="14" spans="1:4" s="50" customFormat="1" x14ac:dyDescent="0.35">
      <c r="B14" s="115"/>
      <c r="C14" s="78" t="s">
        <v>367</v>
      </c>
      <c r="D14" s="60"/>
    </row>
    <row r="15" spans="1:4" s="50" customFormat="1" ht="15" thickBot="1" x14ac:dyDescent="0.4">
      <c r="B15" s="86"/>
      <c r="C15" s="79"/>
      <c r="D15" s="65"/>
    </row>
    <row r="16" spans="1:4" s="50" customFormat="1" x14ac:dyDescent="0.35">
      <c r="B16" s="83"/>
    </row>
    <row r="17" spans="1:3" s="101" customFormat="1" ht="18.5" x14ac:dyDescent="0.45">
      <c r="A17" s="98" t="s">
        <v>130</v>
      </c>
      <c r="B17" s="99" t="s">
        <v>238</v>
      </c>
      <c r="C17" s="100"/>
    </row>
    <row r="18" spans="1:3" s="50" customFormat="1" x14ac:dyDescent="0.35">
      <c r="A18" s="87"/>
      <c r="B18" s="50" t="s">
        <v>515</v>
      </c>
    </row>
    <row r="19" spans="1:3" s="50" customFormat="1" x14ac:dyDescent="0.35">
      <c r="A19" s="87"/>
      <c r="B19" s="50" t="s">
        <v>496</v>
      </c>
    </row>
    <row r="20" spans="1:3" s="50" customFormat="1" x14ac:dyDescent="0.35">
      <c r="A20" s="87"/>
    </row>
    <row r="21" spans="1:3" s="50" customFormat="1" x14ac:dyDescent="0.35">
      <c r="A21" s="87"/>
      <c r="B21" s="50" t="s">
        <v>519</v>
      </c>
    </row>
    <row r="22" spans="1:3" s="50" customFormat="1" x14ac:dyDescent="0.35">
      <c r="A22" s="87"/>
      <c r="B22" s="50" t="s">
        <v>497</v>
      </c>
    </row>
    <row r="23" spans="1:3" s="50" customFormat="1" x14ac:dyDescent="0.35">
      <c r="A23" s="87"/>
      <c r="B23" s="50" t="s">
        <v>498</v>
      </c>
    </row>
    <row r="24" spans="1:3" s="50" customFormat="1" x14ac:dyDescent="0.35">
      <c r="A24" s="87"/>
    </row>
    <row r="25" spans="1:3" s="50" customFormat="1" x14ac:dyDescent="0.35">
      <c r="A25" s="87"/>
      <c r="B25" s="50" t="s">
        <v>520</v>
      </c>
    </row>
    <row r="26" spans="1:3" s="50" customFormat="1" x14ac:dyDescent="0.35">
      <c r="A26" s="87"/>
      <c r="B26" s="50" t="s">
        <v>499</v>
      </c>
    </row>
    <row r="27" spans="1:3" s="50" customFormat="1" x14ac:dyDescent="0.35">
      <c r="A27" s="87"/>
      <c r="B27" s="50" t="s">
        <v>500</v>
      </c>
    </row>
    <row r="28" spans="1:3" s="50" customFormat="1" x14ac:dyDescent="0.35">
      <c r="A28" s="87"/>
      <c r="B28" s="50" t="s">
        <v>516</v>
      </c>
    </row>
    <row r="29" spans="1:3" s="50" customFormat="1" x14ac:dyDescent="0.35">
      <c r="A29" s="87"/>
      <c r="B29" s="50" t="s">
        <v>517</v>
      </c>
    </row>
    <row r="30" spans="1:3" s="50" customFormat="1" x14ac:dyDescent="0.35">
      <c r="A30" s="87"/>
    </row>
    <row r="31" spans="1:3" s="97" customFormat="1" ht="18.5" x14ac:dyDescent="0.45">
      <c r="A31" s="93" t="s">
        <v>130</v>
      </c>
      <c r="B31" s="95" t="s">
        <v>514</v>
      </c>
      <c r="C31" s="95"/>
    </row>
    <row r="32" spans="1:3" s="50" customFormat="1" x14ac:dyDescent="0.35"/>
    <row r="33" spans="1:8" s="6" customFormat="1" x14ac:dyDescent="0.35">
      <c r="A33" s="179" t="s">
        <v>130</v>
      </c>
      <c r="B33" s="8" t="s">
        <v>501</v>
      </c>
      <c r="C33" s="8"/>
      <c r="D33" s="8"/>
      <c r="E33" s="8"/>
      <c r="F33" s="9"/>
      <c r="G33" s="9"/>
    </row>
    <row r="34" spans="1:8" x14ac:dyDescent="0.35">
      <c r="B34" s="123" t="s">
        <v>43</v>
      </c>
      <c r="C34" s="191" t="s">
        <v>36</v>
      </c>
      <c r="D34" s="191" t="s">
        <v>37</v>
      </c>
      <c r="E34" s="195" t="s">
        <v>38</v>
      </c>
      <c r="F34" t="s">
        <v>508</v>
      </c>
      <c r="G34" s="15"/>
      <c r="H34" s="2"/>
    </row>
    <row r="35" spans="1:8" x14ac:dyDescent="0.35">
      <c r="B35" s="125" t="s">
        <v>42</v>
      </c>
      <c r="C35" s="21" t="s">
        <v>39</v>
      </c>
      <c r="D35" s="21" t="s">
        <v>40</v>
      </c>
      <c r="E35" s="193">
        <v>24.85</v>
      </c>
      <c r="F35" s="3" t="s">
        <v>509</v>
      </c>
      <c r="G35" s="13"/>
    </row>
    <row r="36" spans="1:8" x14ac:dyDescent="0.35">
      <c r="B36" s="125" t="s">
        <v>42</v>
      </c>
      <c r="C36" s="21" t="s">
        <v>41</v>
      </c>
      <c r="D36" s="21" t="s">
        <v>45</v>
      </c>
      <c r="E36" s="193">
        <v>125030</v>
      </c>
      <c r="F36" s="11"/>
      <c r="G36" s="13"/>
    </row>
    <row r="37" spans="1:8" x14ac:dyDescent="0.35">
      <c r="B37" s="125" t="s">
        <v>44</v>
      </c>
      <c r="C37" s="21" t="s">
        <v>46</v>
      </c>
      <c r="D37" s="21" t="s">
        <v>47</v>
      </c>
      <c r="E37" s="193">
        <v>350000</v>
      </c>
      <c r="G37" s="15"/>
    </row>
    <row r="38" spans="1:8" x14ac:dyDescent="0.35">
      <c r="B38" s="125" t="s">
        <v>42</v>
      </c>
      <c r="C38" s="21" t="s">
        <v>39</v>
      </c>
      <c r="D38" s="21" t="s">
        <v>48</v>
      </c>
      <c r="E38" s="193">
        <v>55.82</v>
      </c>
      <c r="F38" s="11"/>
      <c r="G38" s="13"/>
    </row>
    <row r="39" spans="1:8" x14ac:dyDescent="0.35">
      <c r="B39" s="127" t="s">
        <v>49</v>
      </c>
      <c r="C39" s="192" t="s">
        <v>50</v>
      </c>
      <c r="D39" s="192" t="s">
        <v>51</v>
      </c>
      <c r="E39" s="194">
        <v>552.25</v>
      </c>
      <c r="G39" s="14"/>
    </row>
    <row r="40" spans="1:8" x14ac:dyDescent="0.35">
      <c r="B40"/>
      <c r="E40" s="13"/>
      <c r="G40" s="14"/>
    </row>
    <row r="41" spans="1:8" s="6" customFormat="1" x14ac:dyDescent="0.35">
      <c r="A41" s="179" t="s">
        <v>130</v>
      </c>
      <c r="B41" s="8" t="str">
        <f>"Adding up the cost of tools for everyone with a " &amp;B44&amp; " status!"</f>
        <v>Adding up the cost of tools for everyone with a Hero status!</v>
      </c>
      <c r="C41" s="8"/>
      <c r="D41" s="8"/>
      <c r="E41" s="8"/>
      <c r="F41" s="9"/>
      <c r="G41" s="9"/>
    </row>
    <row r="42" spans="1:8" ht="18.75" customHeight="1" x14ac:dyDescent="0.35">
      <c r="B42" s="2" t="s">
        <v>504</v>
      </c>
      <c r="E42" s="13"/>
      <c r="G42" s="14"/>
    </row>
    <row r="43" spans="1:8" x14ac:dyDescent="0.35">
      <c r="B43" s="196" t="s">
        <v>505</v>
      </c>
      <c r="C43" s="197" t="s">
        <v>503</v>
      </c>
      <c r="D43" s="180" t="s">
        <v>502</v>
      </c>
      <c r="E43" s="182"/>
      <c r="G43" s="14"/>
    </row>
    <row r="44" spans="1:8" x14ac:dyDescent="0.35">
      <c r="B44" s="127" t="s">
        <v>42</v>
      </c>
      <c r="C44" s="184">
        <f>SUMIF($B$35:$B$39,B44,$E$35:$E$39)</f>
        <v>125110.67000000001</v>
      </c>
      <c r="D44" s="183" t="s">
        <v>532</v>
      </c>
      <c r="E44" s="181"/>
      <c r="G44" s="14"/>
    </row>
    <row r="45" spans="1:8" x14ac:dyDescent="0.35">
      <c r="B45" s="21"/>
      <c r="C45" s="190"/>
      <c r="D45" s="15"/>
      <c r="E45" s="13"/>
      <c r="G45" s="14"/>
    </row>
    <row r="46" spans="1:8" s="6" customFormat="1" x14ac:dyDescent="0.35">
      <c r="A46" s="179" t="s">
        <v>130</v>
      </c>
      <c r="B46" s="8" t="str">
        <f>"Adding up the cost of tools for everyone who is a "&amp;B49&amp;" OR " &amp;B50 &amp; "  - 2 possibilities in a same column!"</f>
        <v>Adding up the cost of tools for everyone who is a Hero OR Ambiguous  - 2 possibilities in a same column!</v>
      </c>
      <c r="C46" s="8"/>
      <c r="D46" s="8"/>
      <c r="E46" s="8"/>
      <c r="F46" s="9"/>
      <c r="G46" s="9"/>
    </row>
    <row r="47" spans="1:8" ht="17.25" customHeight="1" x14ac:dyDescent="0.35">
      <c r="B47" s="13" t="s">
        <v>511</v>
      </c>
      <c r="C47"/>
      <c r="D47"/>
      <c r="E47"/>
    </row>
    <row r="48" spans="1:8" x14ac:dyDescent="0.35">
      <c r="B48" s="196" t="s">
        <v>505</v>
      </c>
      <c r="C48" s="198" t="s">
        <v>503</v>
      </c>
      <c r="D48" s="185" t="s">
        <v>502</v>
      </c>
      <c r="E48" s="186"/>
      <c r="F48" s="187"/>
      <c r="G48" s="14"/>
    </row>
    <row r="49" spans="1:8" x14ac:dyDescent="0.35">
      <c r="B49" s="125" t="s">
        <v>42</v>
      </c>
      <c r="C49" s="184">
        <f>SUMIF($B$35:$B$39,B49,$E$35:$E$39)+SUMIF($B$35:$B$39,B50,$E$35:$E$39)</f>
        <v>125662.92000000001</v>
      </c>
      <c r="D49" s="188" t="s">
        <v>533</v>
      </c>
      <c r="E49" s="189"/>
      <c r="F49" s="175"/>
      <c r="G49" s="14"/>
    </row>
    <row r="50" spans="1:8" x14ac:dyDescent="0.35">
      <c r="B50" s="211" t="s">
        <v>49</v>
      </c>
      <c r="E50" s="13"/>
      <c r="G50" s="14"/>
    </row>
    <row r="51" spans="1:8" x14ac:dyDescent="0.35">
      <c r="D51" s="12"/>
      <c r="E51" s="12"/>
      <c r="G51" s="14"/>
    </row>
    <row r="52" spans="1:8" s="97" customFormat="1" ht="18.5" x14ac:dyDescent="0.45">
      <c r="A52" s="93" t="s">
        <v>130</v>
      </c>
      <c r="B52" s="95" t="s">
        <v>518</v>
      </c>
      <c r="C52" s="95"/>
    </row>
    <row r="53" spans="1:8" s="50" customFormat="1" x14ac:dyDescent="0.35"/>
    <row r="54" spans="1:8" s="6" customFormat="1" x14ac:dyDescent="0.35">
      <c r="A54" s="179" t="s">
        <v>130</v>
      </c>
      <c r="B54" s="8" t="s">
        <v>506</v>
      </c>
      <c r="C54" s="8"/>
      <c r="D54" s="8"/>
      <c r="E54" s="8"/>
      <c r="F54" s="9"/>
      <c r="G54" s="9"/>
    </row>
    <row r="55" spans="1:8" x14ac:dyDescent="0.35">
      <c r="B55" s="123" t="s">
        <v>43</v>
      </c>
      <c r="C55" s="191" t="s">
        <v>36</v>
      </c>
      <c r="D55" s="191" t="s">
        <v>182</v>
      </c>
      <c r="E55" s="195" t="s">
        <v>186</v>
      </c>
      <c r="F55" t="s">
        <v>510</v>
      </c>
      <c r="G55" s="15"/>
      <c r="H55" s="2"/>
    </row>
    <row r="56" spans="1:8" x14ac:dyDescent="0.35">
      <c r="B56" s="125" t="s">
        <v>42</v>
      </c>
      <c r="C56" s="21" t="s">
        <v>39</v>
      </c>
      <c r="D56" s="21" t="s">
        <v>183</v>
      </c>
      <c r="E56" s="193">
        <v>45000</v>
      </c>
      <c r="F56" s="3" t="s">
        <v>509</v>
      </c>
      <c r="G56" s="13"/>
    </row>
    <row r="57" spans="1:8" x14ac:dyDescent="0.35">
      <c r="B57" s="125" t="s">
        <v>42</v>
      </c>
      <c r="C57" s="21" t="s">
        <v>41</v>
      </c>
      <c r="D57" s="21" t="s">
        <v>185</v>
      </c>
      <c r="E57" s="193">
        <v>2999999</v>
      </c>
      <c r="F57" s="11"/>
      <c r="G57" s="13"/>
    </row>
    <row r="58" spans="1:8" x14ac:dyDescent="0.35">
      <c r="B58" s="125" t="s">
        <v>44</v>
      </c>
      <c r="C58" s="21" t="s">
        <v>46</v>
      </c>
      <c r="D58" s="21" t="s">
        <v>185</v>
      </c>
      <c r="E58" s="193">
        <v>15000</v>
      </c>
      <c r="G58" s="15"/>
    </row>
    <row r="59" spans="1:8" x14ac:dyDescent="0.35">
      <c r="B59" s="125" t="s">
        <v>42</v>
      </c>
      <c r="C59" s="21" t="s">
        <v>184</v>
      </c>
      <c r="D59" s="21" t="s">
        <v>183</v>
      </c>
      <c r="E59" s="193">
        <v>125000</v>
      </c>
      <c r="F59" s="11"/>
      <c r="G59" s="13"/>
    </row>
    <row r="60" spans="1:8" x14ac:dyDescent="0.35">
      <c r="B60" s="127" t="s">
        <v>49</v>
      </c>
      <c r="C60" s="192" t="s">
        <v>187</v>
      </c>
      <c r="D60" s="192" t="s">
        <v>185</v>
      </c>
      <c r="E60" s="194">
        <v>10000</v>
      </c>
      <c r="G60" s="14"/>
    </row>
    <row r="61" spans="1:8" x14ac:dyDescent="0.35">
      <c r="B61"/>
      <c r="E61" s="13"/>
      <c r="G61" s="14"/>
    </row>
    <row r="62" spans="1:8" s="6" customFormat="1" x14ac:dyDescent="0.35">
      <c r="A62" s="179" t="s">
        <v>130</v>
      </c>
      <c r="B62" s="8" t="str">
        <f>"Adding up the salary of everyone with the " &amp;B65 &amp;" status!"</f>
        <v>Adding up the salary of everyone with the Hero status!</v>
      </c>
      <c r="C62" s="8"/>
      <c r="D62" s="8"/>
      <c r="E62" s="8"/>
      <c r="F62" s="9"/>
      <c r="G62" s="9"/>
    </row>
    <row r="63" spans="1:8" ht="18" customHeight="1" x14ac:dyDescent="0.35">
      <c r="B63" s="2" t="s">
        <v>504</v>
      </c>
      <c r="E63" s="13"/>
      <c r="G63" s="14"/>
    </row>
    <row r="64" spans="1:8" x14ac:dyDescent="0.35">
      <c r="B64" s="196" t="s">
        <v>505</v>
      </c>
      <c r="C64" s="197" t="s">
        <v>507</v>
      </c>
      <c r="D64" s="180" t="s">
        <v>502</v>
      </c>
      <c r="E64" s="182"/>
      <c r="G64" s="14"/>
    </row>
    <row r="65" spans="1:7" x14ac:dyDescent="0.35">
      <c r="B65" s="127" t="s">
        <v>42</v>
      </c>
      <c r="C65" s="184">
        <f>SUMIFS($E$56:$E$60,$B$56:$B$60,B65)</f>
        <v>3169999</v>
      </c>
      <c r="D65" s="183" t="s">
        <v>534</v>
      </c>
      <c r="E65" s="181"/>
      <c r="G65" s="14"/>
    </row>
    <row r="66" spans="1:7" x14ac:dyDescent="0.35">
      <c r="B66"/>
      <c r="E66" s="13"/>
      <c r="G66" s="14"/>
    </row>
    <row r="67" spans="1:7" s="6" customFormat="1" x14ac:dyDescent="0.35">
      <c r="A67" s="179" t="s">
        <v>130</v>
      </c>
      <c r="B67" s="8" t="str">
        <f>"Adding up the salary of every "&amp;B71&amp; " " &amp;B70 &amp; " - criteria over two different columns!"</f>
        <v>Adding up the salary of every Super cool Hero - criteria over two different columns!</v>
      </c>
      <c r="C67" s="8"/>
      <c r="D67" s="8"/>
      <c r="E67" s="8"/>
      <c r="F67" s="9"/>
      <c r="G67" s="9"/>
    </row>
    <row r="68" spans="1:7" ht="18" customHeight="1" x14ac:dyDescent="0.35">
      <c r="B68" t="s">
        <v>511</v>
      </c>
      <c r="E68" s="13"/>
      <c r="G68" s="14"/>
    </row>
    <row r="69" spans="1:7" x14ac:dyDescent="0.35">
      <c r="B69" s="196" t="s">
        <v>505</v>
      </c>
      <c r="C69" s="198" t="s">
        <v>503</v>
      </c>
      <c r="D69" s="185" t="s">
        <v>502</v>
      </c>
      <c r="E69" s="210"/>
      <c r="F69" s="187"/>
      <c r="G69" s="14"/>
    </row>
    <row r="70" spans="1:7" x14ac:dyDescent="0.35">
      <c r="B70" s="125" t="s">
        <v>42</v>
      </c>
      <c r="C70" s="184">
        <f>SUMIFS($E$56:$E$60,$B$56:$B$60,B70,$D$56:$D$60,B71)</f>
        <v>2999999</v>
      </c>
      <c r="D70" s="188" t="s">
        <v>535</v>
      </c>
      <c r="E70" s="188"/>
      <c r="F70" s="175"/>
      <c r="G70" s="14"/>
    </row>
    <row r="71" spans="1:7" x14ac:dyDescent="0.35">
      <c r="B71" s="211" t="s">
        <v>185</v>
      </c>
      <c r="E71" s="13"/>
    </row>
    <row r="72" spans="1:7" x14ac:dyDescent="0.35">
      <c r="B72" s="21"/>
      <c r="E72" s="13"/>
    </row>
    <row r="73" spans="1:7" s="101" customFormat="1" ht="18.5" x14ac:dyDescent="0.45">
      <c r="A73" s="98" t="s">
        <v>130</v>
      </c>
      <c r="B73" s="99" t="s">
        <v>256</v>
      </c>
      <c r="C73" s="100"/>
    </row>
    <row r="74" spans="1:7" s="50" customFormat="1" x14ac:dyDescent="0.35">
      <c r="B74" s="83"/>
    </row>
    <row r="75" spans="1:7" s="94" customFormat="1" ht="18.5" x14ac:dyDescent="0.35">
      <c r="A75" s="93" t="s">
        <v>130</v>
      </c>
      <c r="B75" s="94" t="s">
        <v>512</v>
      </c>
    </row>
    <row r="76" spans="1:7" s="50" customFormat="1" x14ac:dyDescent="0.35">
      <c r="A76" s="87"/>
      <c r="B76" s="202"/>
      <c r="C76" s="200"/>
      <c r="E76" s="51"/>
      <c r="F76" s="51"/>
    </row>
    <row r="77" spans="1:7" s="50" customFormat="1" x14ac:dyDescent="0.35">
      <c r="A77" s="103"/>
      <c r="B77" s="50" t="s">
        <v>521</v>
      </c>
    </row>
    <row r="78" spans="1:7" s="50" customFormat="1" x14ac:dyDescent="0.35"/>
    <row r="79" spans="1:7" s="94" customFormat="1" ht="18.5" x14ac:dyDescent="0.35">
      <c r="A79" s="93" t="s">
        <v>130</v>
      </c>
      <c r="B79" s="94" t="s">
        <v>536</v>
      </c>
    </row>
    <row r="80" spans="1:7" x14ac:dyDescent="0.35">
      <c r="B80" s="212" t="s">
        <v>541</v>
      </c>
      <c r="C80"/>
      <c r="D80"/>
      <c r="E80"/>
    </row>
    <row r="81" spans="1:6" ht="116" x14ac:dyDescent="0.35">
      <c r="B81" s="5" t="s">
        <v>537</v>
      </c>
      <c r="C81" s="5" t="s">
        <v>538</v>
      </c>
      <c r="D81" s="5" t="s">
        <v>540</v>
      </c>
      <c r="E81" s="230" t="s">
        <v>542</v>
      </c>
      <c r="F81" s="5" t="s">
        <v>543</v>
      </c>
    </row>
    <row r="82" spans="1:6" x14ac:dyDescent="0.35">
      <c r="B82" s="5"/>
      <c r="C82" s="5"/>
      <c r="D82" s="5"/>
      <c r="E82" s="13"/>
    </row>
    <row r="83" spans="1:6" x14ac:dyDescent="0.35">
      <c r="A83" s="103"/>
      <c r="B83" s="2" t="s">
        <v>539</v>
      </c>
      <c r="E83" s="13"/>
    </row>
    <row r="84" spans="1:6" x14ac:dyDescent="0.35">
      <c r="B84" s="2" t="s">
        <v>544</v>
      </c>
      <c r="E84" s="13"/>
    </row>
  </sheetData>
  <conditionalFormatting sqref="B35:B39">
    <cfRule type="containsText" dxfId="29" priority="20" operator="containsText" text="Ambiguous">
      <formula>NOT(ISERROR(SEARCH("Ambiguous",B35)))</formula>
    </cfRule>
    <cfRule type="containsText" dxfId="28" priority="21" operator="containsText" text="Villain">
      <formula>NOT(ISERROR(SEARCH("Villain",B35)))</formula>
    </cfRule>
    <cfRule type="containsText" dxfId="27" priority="22" operator="containsText" text="Hero">
      <formula>NOT(ISERROR(SEARCH("Hero",B35)))</formula>
    </cfRule>
  </conditionalFormatting>
  <conditionalFormatting sqref="B44">
    <cfRule type="containsText" dxfId="26" priority="17" operator="containsText" text="Ambiguous">
      <formula>NOT(ISERROR(SEARCH("Ambiguous",B44)))</formula>
    </cfRule>
    <cfRule type="containsText" dxfId="25" priority="18" operator="containsText" text="Villain">
      <formula>NOT(ISERROR(SEARCH("Villain",B44)))</formula>
    </cfRule>
    <cfRule type="containsText" dxfId="24" priority="19" operator="containsText" text="Hero">
      <formula>NOT(ISERROR(SEARCH("Hero",B44)))</formula>
    </cfRule>
  </conditionalFormatting>
  <conditionalFormatting sqref="B49:B50">
    <cfRule type="containsText" dxfId="23" priority="14" operator="containsText" text="Ambiguous">
      <formula>NOT(ISERROR(SEARCH("Ambiguous",B49)))</formula>
    </cfRule>
    <cfRule type="containsText" dxfId="22" priority="15" operator="containsText" text="Villain">
      <formula>NOT(ISERROR(SEARCH("Villain",B49)))</formula>
    </cfRule>
    <cfRule type="containsText" dxfId="21" priority="16" operator="containsText" text="Hero">
      <formula>NOT(ISERROR(SEARCH("Hero",B49)))</formula>
    </cfRule>
  </conditionalFormatting>
  <conditionalFormatting sqref="B56:B60">
    <cfRule type="containsText" dxfId="20" priority="11" operator="containsText" text="Ambiguous">
      <formula>NOT(ISERROR(SEARCH("Ambiguous",B56)))</formula>
    </cfRule>
    <cfRule type="containsText" dxfId="19" priority="12" operator="containsText" text="Villain">
      <formula>NOT(ISERROR(SEARCH("Villain",B56)))</formula>
    </cfRule>
    <cfRule type="containsText" dxfId="18" priority="13" operator="containsText" text="Hero">
      <formula>NOT(ISERROR(SEARCH("Hero",B56)))</formula>
    </cfRule>
  </conditionalFormatting>
  <conditionalFormatting sqref="B65">
    <cfRule type="containsText" dxfId="17" priority="8" operator="containsText" text="Ambiguous">
      <formula>NOT(ISERROR(SEARCH("Ambiguous",B65)))</formula>
    </cfRule>
    <cfRule type="containsText" dxfId="16" priority="9" operator="containsText" text="Villain">
      <formula>NOT(ISERROR(SEARCH("Villain",B65)))</formula>
    </cfRule>
    <cfRule type="containsText" dxfId="15" priority="10" operator="containsText" text="Hero">
      <formula>NOT(ISERROR(SEARCH("Hero",B65)))</formula>
    </cfRule>
  </conditionalFormatting>
  <conditionalFormatting sqref="B70">
    <cfRule type="containsText" dxfId="14" priority="5" operator="containsText" text="Ambiguous">
      <formula>NOT(ISERROR(SEARCH("Ambiguous",B70)))</formula>
    </cfRule>
    <cfRule type="containsText" dxfId="13" priority="6" operator="containsText" text="Villain">
      <formula>NOT(ISERROR(SEARCH("Villain",B70)))</formula>
    </cfRule>
    <cfRule type="containsText" dxfId="12" priority="7" operator="containsText" text="Hero">
      <formula>NOT(ISERROR(SEARCH("Hero",B70)))</formula>
    </cfRule>
  </conditionalFormatting>
  <conditionalFormatting sqref="B71">
    <cfRule type="beginsWith" dxfId="11" priority="1" operator="beginsWith" text="Cool">
      <formula>LEFT(B71,LEN("Cool"))="Cool"</formula>
    </cfRule>
    <cfRule type="containsText" dxfId="10" priority="2" operator="containsText" text="Super cool">
      <formula>NOT(ISERROR(SEARCH("Super cool",B71)))</formula>
    </cfRule>
  </conditionalFormatting>
  <conditionalFormatting sqref="D56:D60">
    <cfRule type="beginsWith" dxfId="9" priority="3" operator="beginsWith" text="Cool">
      <formula>LEFT(D56,LEN("Cool"))="Cool"</formula>
    </cfRule>
    <cfRule type="containsText" dxfId="8" priority="4" operator="containsText" text="Super cool">
      <formula>NOT(ISERROR(SEARCH("Super cool",D56)))</formula>
    </cfRule>
  </conditionalFormatting>
  <hyperlinks>
    <hyperlink ref="B1" location="Menu!A1" display="Main Menu" xr:uid="{D5390AD7-A280-4F4C-B397-5CC92628287A}"/>
    <hyperlink ref="C1" location="'B4 Exercise'!A1" display="              Exercise              " xr:uid="{D4F5C724-C933-4EF6-A809-635203C64F07}"/>
    <hyperlink ref="D1" location="'2021 CSD'!A1" display="       Data worksheet       " xr:uid="{17362354-3F01-4E40-881F-74FAD70E4646}"/>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14">
    <tabColor rgb="FF002060"/>
  </sheetPr>
  <dimension ref="A1:N252"/>
  <sheetViews>
    <sheetView workbookViewId="0">
      <selection activeCell="B1" sqref="B1"/>
    </sheetView>
  </sheetViews>
  <sheetFormatPr defaultColWidth="11.453125" defaultRowHeight="14.5" x14ac:dyDescent="0.35"/>
  <cols>
    <col min="1" max="1" width="5.6328125" customWidth="1"/>
    <col min="2" max="3" width="23.453125" customWidth="1"/>
    <col min="4" max="5" width="23.453125" style="2" customWidth="1"/>
    <col min="6" max="6" width="2.90625" style="2" customWidth="1"/>
    <col min="7" max="7" width="23.453125" customWidth="1"/>
    <col min="8" max="8" width="2.6328125" customWidth="1"/>
    <col min="9" max="9" width="4.54296875" style="21" customWidth="1"/>
    <col min="10" max="10" width="5.453125" style="21" customWidth="1"/>
    <col min="11" max="11" width="22.6328125" style="231" customWidth="1"/>
    <col min="12" max="12" width="9" style="10" customWidth="1"/>
    <col min="13" max="13" width="2.36328125" customWidth="1"/>
    <col min="14" max="14" width="7.08984375" style="21" customWidth="1"/>
  </cols>
  <sheetData>
    <row r="1" spans="1:14" ht="30" thickTop="1" thickBot="1" x14ac:dyDescent="0.4">
      <c r="A1" s="87" t="s">
        <v>130</v>
      </c>
      <c r="B1" s="80" t="s">
        <v>243</v>
      </c>
      <c r="C1" s="80" t="s">
        <v>359</v>
      </c>
      <c r="D1" s="80" t="s">
        <v>245</v>
      </c>
      <c r="E1" s="50"/>
      <c r="F1" s="50"/>
      <c r="G1" s="138"/>
      <c r="I1" s="249" t="s">
        <v>146</v>
      </c>
      <c r="J1" s="249" t="s">
        <v>549</v>
      </c>
      <c r="K1" s="249" t="s">
        <v>154</v>
      </c>
      <c r="L1" s="250" t="s">
        <v>262</v>
      </c>
      <c r="N1" s="249" t="s">
        <v>556</v>
      </c>
    </row>
    <row r="2" spans="1:14" ht="15" thickTop="1" x14ac:dyDescent="0.35">
      <c r="A2" s="50"/>
      <c r="B2" s="50"/>
      <c r="C2" s="50"/>
      <c r="D2" s="50"/>
      <c r="E2" s="50"/>
      <c r="F2" s="50"/>
      <c r="G2" s="139"/>
      <c r="I2" s="232">
        <v>5</v>
      </c>
      <c r="J2" s="232">
        <v>1</v>
      </c>
      <c r="K2" s="234" t="s">
        <v>268</v>
      </c>
      <c r="L2" s="238">
        <v>6523</v>
      </c>
      <c r="N2" s="232">
        <v>5</v>
      </c>
    </row>
    <row r="3" spans="1:14" s="136" customFormat="1" ht="18.5" x14ac:dyDescent="0.45">
      <c r="A3" s="104" t="s">
        <v>130</v>
      </c>
      <c r="B3" s="105" t="s">
        <v>545</v>
      </c>
      <c r="C3" s="106"/>
      <c r="D3" s="107"/>
      <c r="E3" s="107"/>
      <c r="F3" s="107"/>
      <c r="G3" s="140"/>
      <c r="I3" s="233">
        <v>1</v>
      </c>
      <c r="J3" s="233">
        <v>4</v>
      </c>
      <c r="K3" s="235" t="s">
        <v>269</v>
      </c>
      <c r="L3" s="239">
        <v>725</v>
      </c>
      <c r="N3" s="233">
        <v>1</v>
      </c>
    </row>
    <row r="4" spans="1:14" x14ac:dyDescent="0.35">
      <c r="A4" s="50"/>
      <c r="B4" s="50" t="s">
        <v>546</v>
      </c>
      <c r="C4" s="50"/>
      <c r="D4" s="50"/>
      <c r="E4" s="50"/>
      <c r="F4" s="50"/>
      <c r="G4" s="139"/>
      <c r="I4" s="233">
        <v>1</v>
      </c>
      <c r="J4" s="233">
        <v>6</v>
      </c>
      <c r="K4" s="235" t="s">
        <v>270</v>
      </c>
      <c r="L4" s="239">
        <v>4336</v>
      </c>
      <c r="N4" s="233">
        <v>2</v>
      </c>
    </row>
    <row r="5" spans="1:14" x14ac:dyDescent="0.35">
      <c r="A5" s="50"/>
      <c r="B5" s="50" t="s">
        <v>547</v>
      </c>
      <c r="C5" s="50"/>
      <c r="D5" s="50"/>
      <c r="E5" s="50"/>
      <c r="F5" s="50"/>
      <c r="G5" s="139"/>
      <c r="I5" s="233">
        <v>1</v>
      </c>
      <c r="J5" s="233">
        <v>8</v>
      </c>
      <c r="K5" s="235" t="s">
        <v>270</v>
      </c>
      <c r="L5" s="239">
        <v>1644</v>
      </c>
      <c r="N5" s="233">
        <v>3</v>
      </c>
    </row>
    <row r="6" spans="1:14" x14ac:dyDescent="0.35">
      <c r="A6" s="50"/>
      <c r="B6" s="50"/>
      <c r="C6" s="50"/>
      <c r="D6" s="50"/>
      <c r="E6" s="50"/>
      <c r="F6" s="50"/>
      <c r="G6" s="139"/>
      <c r="I6" s="233">
        <v>1</v>
      </c>
      <c r="J6" s="233">
        <v>9</v>
      </c>
      <c r="K6" s="235" t="s">
        <v>271</v>
      </c>
      <c r="L6" s="239">
        <v>476</v>
      </c>
      <c r="N6" s="233">
        <v>4</v>
      </c>
    </row>
    <row r="7" spans="1:14" x14ac:dyDescent="0.35">
      <c r="A7" s="50"/>
      <c r="B7" s="50" t="s">
        <v>548</v>
      </c>
      <c r="C7" s="50"/>
      <c r="D7" s="50"/>
      <c r="E7" s="50"/>
      <c r="F7" s="50"/>
      <c r="G7" s="139"/>
      <c r="I7" s="233">
        <v>2</v>
      </c>
      <c r="J7" s="233">
        <v>1</v>
      </c>
      <c r="K7" s="235" t="s">
        <v>272</v>
      </c>
      <c r="L7" s="239">
        <v>7870</v>
      </c>
      <c r="N7" s="233">
        <v>6</v>
      </c>
    </row>
    <row r="8" spans="1:14" x14ac:dyDescent="0.35">
      <c r="A8" s="50"/>
      <c r="B8" s="50" t="s">
        <v>555</v>
      </c>
      <c r="C8" s="50"/>
      <c r="D8" s="50"/>
      <c r="E8" s="50"/>
      <c r="F8" s="50"/>
      <c r="G8" s="139"/>
      <c r="I8" s="233">
        <v>2</v>
      </c>
      <c r="J8" s="233">
        <v>4</v>
      </c>
      <c r="K8" s="235" t="s">
        <v>273</v>
      </c>
      <c r="L8" s="239">
        <v>10067</v>
      </c>
      <c r="N8" s="233">
        <v>7</v>
      </c>
    </row>
    <row r="9" spans="1:14" x14ac:dyDescent="0.35">
      <c r="A9" s="50"/>
      <c r="B9" s="50" t="s">
        <v>550</v>
      </c>
      <c r="C9" s="50"/>
      <c r="D9" s="50"/>
      <c r="E9" s="50"/>
      <c r="F9" s="50"/>
      <c r="G9" s="139"/>
      <c r="I9" s="233">
        <v>2</v>
      </c>
      <c r="J9" s="233">
        <v>6</v>
      </c>
      <c r="K9" s="235" t="s">
        <v>273</v>
      </c>
      <c r="L9" s="239">
        <v>6829</v>
      </c>
      <c r="N9" s="233">
        <v>8</v>
      </c>
    </row>
    <row r="10" spans="1:14" x14ac:dyDescent="0.35">
      <c r="A10" s="50"/>
      <c r="B10" s="50" t="s">
        <v>551</v>
      </c>
      <c r="C10" s="50"/>
      <c r="D10" s="50"/>
      <c r="E10" s="50"/>
      <c r="F10" s="50"/>
      <c r="G10" s="139"/>
      <c r="I10" s="233">
        <v>2</v>
      </c>
      <c r="J10" s="233">
        <v>40</v>
      </c>
      <c r="K10" s="235" t="s">
        <v>274</v>
      </c>
      <c r="L10" s="239">
        <v>181</v>
      </c>
      <c r="N10" s="233">
        <v>9</v>
      </c>
    </row>
    <row r="11" spans="1:14" x14ac:dyDescent="0.35">
      <c r="A11" s="50"/>
      <c r="B11" s="50" t="s">
        <v>552</v>
      </c>
      <c r="C11" s="50"/>
      <c r="D11" s="50"/>
      <c r="E11" s="50"/>
      <c r="F11" s="50"/>
      <c r="G11" s="139"/>
      <c r="I11" s="233">
        <v>3</v>
      </c>
      <c r="J11" s="233">
        <v>1</v>
      </c>
      <c r="K11" s="235" t="s">
        <v>275</v>
      </c>
      <c r="L11" s="239">
        <v>7678</v>
      </c>
      <c r="N11" s="233">
        <v>10</v>
      </c>
    </row>
    <row r="12" spans="1:14" x14ac:dyDescent="0.35">
      <c r="A12" s="50"/>
      <c r="B12" s="50" t="s">
        <v>554</v>
      </c>
      <c r="C12" s="50"/>
      <c r="D12" s="50"/>
      <c r="E12" s="50"/>
      <c r="F12" s="50"/>
      <c r="G12" s="139"/>
      <c r="I12" s="233">
        <v>3</v>
      </c>
      <c r="J12" s="233">
        <v>4</v>
      </c>
      <c r="K12" s="235" t="s">
        <v>276</v>
      </c>
      <c r="L12" s="239">
        <v>7242</v>
      </c>
      <c r="N12" s="233">
        <v>11</v>
      </c>
    </row>
    <row r="13" spans="1:14" x14ac:dyDescent="0.35">
      <c r="A13" s="50"/>
      <c r="B13" s="50" t="s">
        <v>553</v>
      </c>
      <c r="C13" s="50"/>
      <c r="D13" s="50"/>
      <c r="E13" s="50"/>
      <c r="F13" s="50"/>
      <c r="G13" s="139"/>
      <c r="I13" s="233">
        <v>3</v>
      </c>
      <c r="J13" s="233">
        <v>6</v>
      </c>
      <c r="K13" s="235" t="s">
        <v>276</v>
      </c>
      <c r="L13" s="239">
        <v>2001</v>
      </c>
      <c r="N13" s="233">
        <v>12</v>
      </c>
    </row>
    <row r="14" spans="1:14" x14ac:dyDescent="0.35">
      <c r="A14" s="50"/>
      <c r="B14" s="50"/>
      <c r="C14" s="50"/>
      <c r="D14" s="50"/>
      <c r="E14" s="50"/>
      <c r="F14" s="50"/>
      <c r="G14" s="139"/>
      <c r="I14" s="233">
        <v>3</v>
      </c>
      <c r="J14" s="233">
        <v>9</v>
      </c>
      <c r="K14" s="235" t="s">
        <v>277</v>
      </c>
      <c r="L14" s="239">
        <v>141</v>
      </c>
      <c r="N14" s="233">
        <v>13</v>
      </c>
    </row>
    <row r="15" spans="1:14" x14ac:dyDescent="0.35">
      <c r="A15" s="50"/>
      <c r="B15" s="50" t="s">
        <v>557</v>
      </c>
      <c r="C15" s="50"/>
      <c r="D15" s="50"/>
      <c r="E15" s="50"/>
      <c r="F15" s="50"/>
      <c r="G15" s="139"/>
      <c r="I15" s="233">
        <v>4</v>
      </c>
      <c r="J15" s="233">
        <v>1</v>
      </c>
      <c r="K15" s="235" t="s">
        <v>278</v>
      </c>
      <c r="L15" s="239">
        <v>15</v>
      </c>
      <c r="N15" s="233">
        <v>14</v>
      </c>
    </row>
    <row r="16" spans="1:14" x14ac:dyDescent="0.35">
      <c r="A16" s="50"/>
      <c r="B16" s="50" t="s">
        <v>558</v>
      </c>
      <c r="C16" s="50"/>
      <c r="D16" s="50"/>
      <c r="E16" s="50"/>
      <c r="F16" s="50"/>
      <c r="G16" s="139"/>
      <c r="I16" s="233">
        <v>4</v>
      </c>
      <c r="J16" s="233">
        <v>9</v>
      </c>
      <c r="K16" s="235" t="s">
        <v>279</v>
      </c>
      <c r="L16" s="239">
        <v>15</v>
      </c>
      <c r="N16" s="233">
        <v>15</v>
      </c>
    </row>
    <row r="17" spans="1:14" x14ac:dyDescent="0.35">
      <c r="A17" s="50"/>
      <c r="B17" s="50" t="s">
        <v>562</v>
      </c>
      <c r="C17" s="50"/>
      <c r="D17" s="50"/>
      <c r="E17" s="50"/>
      <c r="F17" s="50"/>
      <c r="G17" s="139"/>
      <c r="I17" s="233">
        <v>4</v>
      </c>
      <c r="J17" s="233">
        <v>10</v>
      </c>
      <c r="K17" s="235" t="s">
        <v>280</v>
      </c>
      <c r="L17" s="239">
        <v>10422</v>
      </c>
      <c r="N17" s="233">
        <v>16</v>
      </c>
    </row>
    <row r="18" spans="1:14" x14ac:dyDescent="0.35">
      <c r="A18" s="50"/>
      <c r="B18" s="50"/>
      <c r="C18" s="50"/>
      <c r="D18" s="50"/>
      <c r="E18" s="50"/>
      <c r="F18" s="50"/>
      <c r="G18" s="139"/>
      <c r="I18" s="233">
        <v>4</v>
      </c>
      <c r="J18" s="233">
        <v>15</v>
      </c>
      <c r="K18" s="235" t="s">
        <v>281</v>
      </c>
      <c r="L18" s="239">
        <v>49</v>
      </c>
      <c r="N18" s="233">
        <v>17</v>
      </c>
    </row>
    <row r="19" spans="1:14" s="137" customFormat="1" ht="18.5" x14ac:dyDescent="0.45">
      <c r="A19" s="117" t="s">
        <v>130</v>
      </c>
      <c r="B19" s="41" t="s">
        <v>559</v>
      </c>
      <c r="C19" s="41"/>
      <c r="D19" s="41"/>
      <c r="E19" s="242"/>
      <c r="F19" s="141"/>
      <c r="G19" s="141" t="s">
        <v>489</v>
      </c>
      <c r="H19"/>
      <c r="I19" s="233">
        <v>5</v>
      </c>
      <c r="J19" s="233">
        <v>1</v>
      </c>
      <c r="K19" s="235" t="s">
        <v>282</v>
      </c>
      <c r="L19" s="239">
        <v>3049</v>
      </c>
      <c r="N19" s="233">
        <v>18</v>
      </c>
    </row>
    <row r="20" spans="1:14" x14ac:dyDescent="0.35">
      <c r="B20" s="243" t="s">
        <v>563</v>
      </c>
      <c r="C20" s="244" t="s">
        <v>560</v>
      </c>
      <c r="D20" s="244" t="s">
        <v>561</v>
      </c>
      <c r="E20" s="124" t="s">
        <v>9</v>
      </c>
      <c r="F20" s="3"/>
      <c r="G20" s="161" t="s">
        <v>145</v>
      </c>
      <c r="I20" s="233">
        <v>5</v>
      </c>
      <c r="J20" s="233">
        <v>2</v>
      </c>
      <c r="K20" s="235" t="s">
        <v>277</v>
      </c>
      <c r="L20" s="239">
        <v>0</v>
      </c>
    </row>
    <row r="21" spans="1:14" x14ac:dyDescent="0.35">
      <c r="B21" s="125">
        <v>1</v>
      </c>
      <c r="C21" s="245"/>
      <c r="D21" s="245"/>
      <c r="E21" s="246">
        <v>7181</v>
      </c>
      <c r="F21" s="21"/>
      <c r="G21" s="162" t="str">
        <f>IF(AND(E21=C21, E21=D21),"WOOHOO!","Not yet…")</f>
        <v>Not yet…</v>
      </c>
      <c r="I21" s="233">
        <v>5</v>
      </c>
      <c r="J21" s="233">
        <v>4</v>
      </c>
      <c r="K21" s="235" t="s">
        <v>283</v>
      </c>
      <c r="L21" s="239">
        <v>5980</v>
      </c>
    </row>
    <row r="22" spans="1:14" x14ac:dyDescent="0.35">
      <c r="B22" s="125">
        <v>2</v>
      </c>
      <c r="C22" s="245"/>
      <c r="D22" s="245"/>
      <c r="E22" s="246">
        <v>24947</v>
      </c>
      <c r="F22" s="21"/>
      <c r="G22" s="162" t="str">
        <f t="shared" ref="G22:G38" si="0">IF(AND(E22=C22, E22=D22),"WOOHOO!","Not yet…")</f>
        <v>Not yet…</v>
      </c>
      <c r="I22" s="233">
        <v>5</v>
      </c>
      <c r="J22" s="233">
        <v>6</v>
      </c>
      <c r="K22" s="235" t="s">
        <v>284</v>
      </c>
      <c r="L22" s="239">
        <v>15</v>
      </c>
    </row>
    <row r="23" spans="1:14" x14ac:dyDescent="0.35">
      <c r="B23" s="125">
        <v>3</v>
      </c>
      <c r="C23" s="245"/>
      <c r="D23" s="245"/>
      <c r="E23" s="246">
        <v>17062</v>
      </c>
      <c r="F23" s="21"/>
      <c r="G23" s="162" t="str">
        <f t="shared" si="0"/>
        <v>Not yet…</v>
      </c>
      <c r="I23" s="233">
        <v>5</v>
      </c>
      <c r="J23" s="233">
        <v>8</v>
      </c>
      <c r="K23" s="235" t="s">
        <v>285</v>
      </c>
      <c r="L23" s="239">
        <v>530</v>
      </c>
    </row>
    <row r="24" spans="1:14" x14ac:dyDescent="0.35">
      <c r="B24" s="125">
        <v>4</v>
      </c>
      <c r="C24" s="245"/>
      <c r="D24" s="245"/>
      <c r="E24" s="246">
        <v>10501</v>
      </c>
      <c r="F24" s="21"/>
      <c r="G24" s="162" t="str">
        <f t="shared" si="0"/>
        <v>Not yet…</v>
      </c>
      <c r="I24" s="233">
        <v>5</v>
      </c>
      <c r="J24" s="233">
        <v>9</v>
      </c>
      <c r="K24" s="235" t="s">
        <v>286</v>
      </c>
      <c r="L24" s="239">
        <v>4587</v>
      </c>
    </row>
    <row r="25" spans="1:14" x14ac:dyDescent="0.35">
      <c r="B25" s="125">
        <v>5</v>
      </c>
      <c r="C25" s="245"/>
      <c r="D25" s="245"/>
      <c r="E25" s="246">
        <v>27775</v>
      </c>
      <c r="F25" s="21"/>
      <c r="G25" s="162" t="str">
        <f t="shared" si="0"/>
        <v>Not yet…</v>
      </c>
      <c r="I25" s="233">
        <v>5</v>
      </c>
      <c r="J25" s="233">
        <v>14</v>
      </c>
      <c r="K25" s="235" t="s">
        <v>287</v>
      </c>
      <c r="L25" s="239">
        <v>5218</v>
      </c>
    </row>
    <row r="26" spans="1:14" x14ac:dyDescent="0.35">
      <c r="B26" s="125">
        <v>6</v>
      </c>
      <c r="C26" s="245"/>
      <c r="D26" s="245"/>
      <c r="E26" s="246">
        <v>48599</v>
      </c>
      <c r="F26" s="21"/>
      <c r="G26" s="162" t="str">
        <f t="shared" si="0"/>
        <v>Not yet…</v>
      </c>
      <c r="I26" s="233">
        <v>5</v>
      </c>
      <c r="J26" s="233">
        <v>16</v>
      </c>
      <c r="K26" s="235" t="s">
        <v>288</v>
      </c>
      <c r="L26" s="239">
        <v>1873</v>
      </c>
    </row>
    <row r="27" spans="1:14" x14ac:dyDescent="0.35">
      <c r="B27" s="125">
        <v>7</v>
      </c>
      <c r="C27" s="245"/>
      <c r="D27" s="245"/>
      <c r="E27" s="246">
        <v>62914</v>
      </c>
      <c r="F27" s="21"/>
      <c r="G27" s="162" t="str">
        <f t="shared" si="0"/>
        <v>Not yet…</v>
      </c>
      <c r="I27" s="233">
        <v>6</v>
      </c>
      <c r="J27" s="233">
        <v>1</v>
      </c>
      <c r="K27" s="235" t="s">
        <v>289</v>
      </c>
      <c r="L27" s="239">
        <v>25545</v>
      </c>
    </row>
    <row r="28" spans="1:14" x14ac:dyDescent="0.35">
      <c r="B28" s="125">
        <v>8</v>
      </c>
      <c r="C28" s="245"/>
      <c r="D28" s="245"/>
      <c r="E28" s="246">
        <v>45140</v>
      </c>
      <c r="F28" s="21"/>
      <c r="G28" s="162" t="str">
        <f t="shared" si="0"/>
        <v>Not yet…</v>
      </c>
      <c r="I28" s="233">
        <v>6</v>
      </c>
      <c r="J28" s="233">
        <v>4</v>
      </c>
      <c r="K28" s="235" t="s">
        <v>290</v>
      </c>
      <c r="L28" s="239">
        <v>8790</v>
      </c>
    </row>
    <row r="29" spans="1:14" x14ac:dyDescent="0.35">
      <c r="B29" s="125">
        <v>9</v>
      </c>
      <c r="C29" s="245"/>
      <c r="D29" s="245"/>
      <c r="E29" s="246">
        <v>440072</v>
      </c>
      <c r="F29" s="21"/>
      <c r="G29" s="162" t="str">
        <f t="shared" si="0"/>
        <v>Not yet…</v>
      </c>
      <c r="I29" s="233">
        <v>6</v>
      </c>
      <c r="J29" s="233">
        <v>6</v>
      </c>
      <c r="K29" s="235" t="s">
        <v>289</v>
      </c>
      <c r="L29" s="239">
        <v>2396</v>
      </c>
    </row>
    <row r="30" spans="1:14" x14ac:dyDescent="0.35">
      <c r="B30" s="125">
        <v>10</v>
      </c>
      <c r="C30" s="245"/>
      <c r="D30" s="245"/>
      <c r="E30" s="246">
        <v>51476</v>
      </c>
      <c r="F30" s="21"/>
      <c r="G30" s="162" t="str">
        <f t="shared" si="0"/>
        <v>Not yet…</v>
      </c>
      <c r="I30" s="233">
        <v>6</v>
      </c>
      <c r="J30" s="233">
        <v>8</v>
      </c>
      <c r="K30" s="235" t="s">
        <v>291</v>
      </c>
      <c r="L30" s="239">
        <v>1064</v>
      </c>
    </row>
    <row r="31" spans="1:14" x14ac:dyDescent="0.35">
      <c r="B31" s="125">
        <v>11</v>
      </c>
      <c r="C31" s="245"/>
      <c r="D31" s="245"/>
      <c r="E31" s="246">
        <v>30538</v>
      </c>
      <c r="F31" s="21"/>
      <c r="G31" s="162" t="str">
        <f t="shared" si="0"/>
        <v>Not yet…</v>
      </c>
      <c r="I31" s="233">
        <v>6</v>
      </c>
      <c r="J31" s="233">
        <v>9</v>
      </c>
      <c r="K31" s="235" t="s">
        <v>292</v>
      </c>
      <c r="L31" s="239">
        <v>10693</v>
      </c>
    </row>
    <row r="32" spans="1:14" x14ac:dyDescent="0.35">
      <c r="B32" s="125">
        <v>12</v>
      </c>
      <c r="C32" s="245"/>
      <c r="D32" s="245"/>
      <c r="E32" s="246">
        <v>43657</v>
      </c>
      <c r="F32" s="21"/>
      <c r="G32" s="162" t="str">
        <f t="shared" si="0"/>
        <v>Not yet…</v>
      </c>
      <c r="I32" s="233">
        <v>6</v>
      </c>
      <c r="J32" s="233">
        <v>11</v>
      </c>
      <c r="K32" s="235" t="s">
        <v>293</v>
      </c>
      <c r="L32" s="239">
        <v>81</v>
      </c>
    </row>
    <row r="33" spans="2:12" x14ac:dyDescent="0.35">
      <c r="B33" s="125">
        <v>13</v>
      </c>
      <c r="C33" s="245"/>
      <c r="D33" s="245"/>
      <c r="E33" s="246">
        <v>7373</v>
      </c>
      <c r="F33" s="21"/>
      <c r="G33" s="162" t="str">
        <f t="shared" si="0"/>
        <v>Not yet…</v>
      </c>
      <c r="I33" s="233">
        <v>6</v>
      </c>
      <c r="J33" s="233">
        <v>14</v>
      </c>
      <c r="K33" s="235" t="s">
        <v>294</v>
      </c>
      <c r="L33" s="239">
        <v>30</v>
      </c>
    </row>
    <row r="34" spans="2:12" x14ac:dyDescent="0.35">
      <c r="B34" s="125">
        <v>14</v>
      </c>
      <c r="C34" s="245"/>
      <c r="D34" s="245"/>
      <c r="E34" s="246">
        <v>20129</v>
      </c>
      <c r="F34" s="21"/>
      <c r="G34" s="162" t="str">
        <f t="shared" si="0"/>
        <v>Not yet…</v>
      </c>
      <c r="I34" s="233">
        <v>6</v>
      </c>
      <c r="J34" s="233">
        <v>16</v>
      </c>
      <c r="K34" s="235" t="s">
        <v>295</v>
      </c>
      <c r="L34" s="239">
        <v>0</v>
      </c>
    </row>
    <row r="35" spans="2:12" x14ac:dyDescent="0.35">
      <c r="B35" s="125">
        <v>15</v>
      </c>
      <c r="C35" s="245"/>
      <c r="D35" s="245"/>
      <c r="E35" s="246">
        <v>17346</v>
      </c>
      <c r="F35" s="21"/>
      <c r="G35" s="162" t="str">
        <f t="shared" si="0"/>
        <v>Not yet…</v>
      </c>
      <c r="I35" s="233">
        <v>7</v>
      </c>
      <c r="J35" s="233">
        <v>1</v>
      </c>
      <c r="K35" s="235" t="s">
        <v>296</v>
      </c>
      <c r="L35" s="239">
        <v>22355</v>
      </c>
    </row>
    <row r="36" spans="2:12" x14ac:dyDescent="0.35">
      <c r="B36" s="125">
        <v>16</v>
      </c>
      <c r="C36" s="245"/>
      <c r="D36" s="245"/>
      <c r="E36" s="246">
        <v>8914</v>
      </c>
      <c r="F36" s="21"/>
      <c r="G36" s="162" t="str">
        <f t="shared" si="0"/>
        <v>Not yet…</v>
      </c>
      <c r="I36" s="233">
        <v>7</v>
      </c>
      <c r="J36" s="233">
        <v>4</v>
      </c>
      <c r="K36" s="235" t="s">
        <v>298</v>
      </c>
      <c r="L36" s="239">
        <v>2455</v>
      </c>
    </row>
    <row r="37" spans="2:12" x14ac:dyDescent="0.35">
      <c r="B37" s="125">
        <v>17</v>
      </c>
      <c r="C37" s="245"/>
      <c r="D37" s="245"/>
      <c r="E37" s="246">
        <v>98318</v>
      </c>
      <c r="F37" s="21"/>
      <c r="G37" s="162" t="str">
        <f t="shared" si="0"/>
        <v>Not yet…</v>
      </c>
      <c r="I37" s="233">
        <v>7</v>
      </c>
      <c r="J37" s="233">
        <v>11</v>
      </c>
      <c r="K37" s="235" t="s">
        <v>299</v>
      </c>
      <c r="L37" s="239">
        <v>8348</v>
      </c>
    </row>
    <row r="38" spans="2:12" x14ac:dyDescent="0.35">
      <c r="B38" s="127">
        <v>18</v>
      </c>
      <c r="C38" s="247"/>
      <c r="D38" s="247"/>
      <c r="E38" s="248">
        <v>7441</v>
      </c>
      <c r="F38" s="21"/>
      <c r="G38" s="163" t="str">
        <f t="shared" si="0"/>
        <v>Not yet…</v>
      </c>
      <c r="I38" s="233">
        <v>7</v>
      </c>
      <c r="J38" s="233">
        <v>12</v>
      </c>
      <c r="K38" s="235" t="s">
        <v>300</v>
      </c>
      <c r="L38" s="239">
        <v>6630</v>
      </c>
    </row>
    <row r="39" spans="2:12" ht="29" x14ac:dyDescent="0.35">
      <c r="I39" s="233">
        <v>7</v>
      </c>
      <c r="J39" s="233">
        <v>2</v>
      </c>
      <c r="K39" s="235" t="s">
        <v>297</v>
      </c>
      <c r="L39" s="239">
        <v>743</v>
      </c>
    </row>
    <row r="40" spans="2:12" x14ac:dyDescent="0.35">
      <c r="C40" s="22"/>
      <c r="I40" s="233">
        <v>7</v>
      </c>
      <c r="J40" s="233">
        <v>16</v>
      </c>
      <c r="K40" s="235" t="s">
        <v>301</v>
      </c>
      <c r="L40" s="239">
        <v>11951</v>
      </c>
    </row>
    <row r="41" spans="2:12" x14ac:dyDescent="0.35">
      <c r="C41" s="22"/>
      <c r="I41" s="233">
        <v>7</v>
      </c>
      <c r="J41" s="233">
        <v>21</v>
      </c>
      <c r="K41" s="235" t="s">
        <v>302</v>
      </c>
      <c r="L41" s="239">
        <v>5264</v>
      </c>
    </row>
    <row r="42" spans="2:12" x14ac:dyDescent="0.35">
      <c r="C42" s="22"/>
      <c r="I42" s="233">
        <v>7</v>
      </c>
      <c r="J42" s="233">
        <v>24</v>
      </c>
      <c r="K42" s="235" t="s">
        <v>303</v>
      </c>
      <c r="L42" s="239">
        <v>5057</v>
      </c>
    </row>
    <row r="43" spans="2:12" x14ac:dyDescent="0.35">
      <c r="C43" s="22"/>
      <c r="I43" s="233">
        <v>7</v>
      </c>
      <c r="J43" s="233">
        <v>27</v>
      </c>
      <c r="K43" s="235" t="s">
        <v>304</v>
      </c>
      <c r="L43" s="239">
        <v>111</v>
      </c>
    </row>
    <row r="44" spans="2:12" x14ac:dyDescent="0.35">
      <c r="C44" s="22"/>
      <c r="I44" s="233">
        <v>8</v>
      </c>
      <c r="J44" s="233">
        <v>3</v>
      </c>
      <c r="K44" s="235" t="s">
        <v>305</v>
      </c>
      <c r="L44" s="239">
        <v>19509</v>
      </c>
    </row>
    <row r="45" spans="2:12" x14ac:dyDescent="0.35">
      <c r="C45" s="22"/>
      <c r="I45" s="233">
        <v>8</v>
      </c>
      <c r="J45" s="233">
        <v>8</v>
      </c>
      <c r="K45" s="235" t="s">
        <v>306</v>
      </c>
      <c r="L45" s="239">
        <v>22892</v>
      </c>
    </row>
    <row r="46" spans="2:12" x14ac:dyDescent="0.35">
      <c r="C46" s="22"/>
      <c r="I46" s="233">
        <v>8</v>
      </c>
      <c r="J46" s="233">
        <v>14</v>
      </c>
      <c r="K46" s="235" t="s">
        <v>307</v>
      </c>
      <c r="L46" s="239">
        <v>2739</v>
      </c>
    </row>
    <row r="47" spans="2:12" x14ac:dyDescent="0.35">
      <c r="C47" s="22"/>
      <c r="I47" s="233">
        <v>9</v>
      </c>
      <c r="J47" s="233">
        <v>19</v>
      </c>
      <c r="K47" s="235" t="s">
        <v>308</v>
      </c>
      <c r="L47" s="239">
        <v>208</v>
      </c>
    </row>
    <row r="48" spans="2:12" x14ac:dyDescent="0.35">
      <c r="C48" s="22"/>
      <c r="I48" s="233">
        <v>9</v>
      </c>
      <c r="J48" s="233">
        <v>34</v>
      </c>
      <c r="K48" s="235" t="s">
        <v>173</v>
      </c>
      <c r="L48" s="239">
        <v>439819</v>
      </c>
    </row>
    <row r="49" spans="3:12" x14ac:dyDescent="0.35">
      <c r="C49" s="22"/>
      <c r="I49" s="233">
        <v>9</v>
      </c>
      <c r="J49" s="233">
        <v>37</v>
      </c>
      <c r="K49" s="235" t="s">
        <v>309</v>
      </c>
      <c r="L49" s="239">
        <v>20</v>
      </c>
    </row>
    <row r="50" spans="3:12" x14ac:dyDescent="0.35">
      <c r="C50" s="22"/>
      <c r="I50" s="233">
        <v>9</v>
      </c>
      <c r="J50" s="233">
        <v>38</v>
      </c>
      <c r="K50" s="235" t="s">
        <v>310</v>
      </c>
      <c r="L50" s="239">
        <v>10</v>
      </c>
    </row>
    <row r="51" spans="3:12" x14ac:dyDescent="0.35">
      <c r="C51" s="22"/>
      <c r="I51" s="233">
        <v>9</v>
      </c>
      <c r="J51" s="233">
        <v>800</v>
      </c>
      <c r="K51" s="235" t="s">
        <v>311</v>
      </c>
      <c r="L51" s="239">
        <v>15</v>
      </c>
    </row>
    <row r="52" spans="3:12" x14ac:dyDescent="0.35">
      <c r="C52" s="22"/>
      <c r="I52" s="233">
        <v>10</v>
      </c>
      <c r="J52" s="233">
        <v>1</v>
      </c>
      <c r="K52" s="235" t="s">
        <v>312</v>
      </c>
      <c r="L52" s="239">
        <v>12476</v>
      </c>
    </row>
    <row r="53" spans="3:12" x14ac:dyDescent="0.35">
      <c r="C53" s="22"/>
      <c r="I53" s="233">
        <v>10</v>
      </c>
      <c r="J53" s="233">
        <v>2</v>
      </c>
      <c r="K53" s="235" t="s">
        <v>313</v>
      </c>
      <c r="L53" s="239">
        <v>1557</v>
      </c>
    </row>
    <row r="54" spans="3:12" x14ac:dyDescent="0.35">
      <c r="C54" s="22"/>
      <c r="I54" s="233">
        <v>10</v>
      </c>
      <c r="J54" s="233">
        <v>3</v>
      </c>
      <c r="K54" s="235" t="s">
        <v>314</v>
      </c>
      <c r="L54" s="239">
        <v>921</v>
      </c>
    </row>
    <row r="55" spans="3:12" x14ac:dyDescent="0.35">
      <c r="C55" s="22"/>
      <c r="I55" s="233">
        <v>10</v>
      </c>
      <c r="J55" s="233">
        <v>6</v>
      </c>
      <c r="K55" s="235" t="s">
        <v>315</v>
      </c>
      <c r="L55" s="239">
        <v>12954</v>
      </c>
    </row>
    <row r="56" spans="3:12" x14ac:dyDescent="0.35">
      <c r="C56" s="22"/>
      <c r="I56" s="233">
        <v>10</v>
      </c>
      <c r="J56" s="233">
        <v>8</v>
      </c>
      <c r="K56" s="235" t="s">
        <v>316</v>
      </c>
      <c r="L56" s="239">
        <v>19806</v>
      </c>
    </row>
    <row r="57" spans="3:12" x14ac:dyDescent="0.35">
      <c r="C57" s="22"/>
      <c r="I57" s="233">
        <v>10</v>
      </c>
      <c r="J57" s="233">
        <v>12</v>
      </c>
      <c r="K57" s="235" t="s">
        <v>317</v>
      </c>
      <c r="L57" s="239">
        <v>3762</v>
      </c>
    </row>
    <row r="58" spans="3:12" x14ac:dyDescent="0.35">
      <c r="C58" s="22"/>
      <c r="I58" s="233">
        <v>11</v>
      </c>
      <c r="J58" s="233">
        <v>1</v>
      </c>
      <c r="K58" s="235" t="s">
        <v>318</v>
      </c>
      <c r="L58" s="239">
        <v>3201</v>
      </c>
    </row>
    <row r="59" spans="3:12" x14ac:dyDescent="0.35">
      <c r="C59" s="22"/>
      <c r="I59" s="233">
        <v>11</v>
      </c>
      <c r="J59" s="233">
        <v>6</v>
      </c>
      <c r="K59" s="235" t="s">
        <v>319</v>
      </c>
      <c r="L59" s="239">
        <v>6786</v>
      </c>
    </row>
    <row r="60" spans="3:12" x14ac:dyDescent="0.35">
      <c r="C60" s="22"/>
      <c r="I60" s="233">
        <v>11</v>
      </c>
      <c r="J60" s="233">
        <v>9</v>
      </c>
      <c r="K60" s="235" t="s">
        <v>320</v>
      </c>
      <c r="L60" s="239">
        <v>5694</v>
      </c>
    </row>
    <row r="61" spans="3:12" x14ac:dyDescent="0.35">
      <c r="C61" s="22"/>
      <c r="I61" s="233">
        <v>11</v>
      </c>
      <c r="J61" s="233">
        <v>11</v>
      </c>
      <c r="K61" s="235" t="s">
        <v>321</v>
      </c>
      <c r="L61" s="239">
        <v>9404</v>
      </c>
    </row>
    <row r="62" spans="3:12" x14ac:dyDescent="0.35">
      <c r="C62" s="22"/>
      <c r="I62" s="233">
        <v>11</v>
      </c>
      <c r="J62" s="233">
        <v>12</v>
      </c>
      <c r="K62" s="235" t="s">
        <v>322</v>
      </c>
      <c r="L62" s="239">
        <v>1170</v>
      </c>
    </row>
    <row r="63" spans="3:12" x14ac:dyDescent="0.35">
      <c r="C63" s="22"/>
      <c r="I63" s="233">
        <v>11</v>
      </c>
      <c r="J63" s="233">
        <v>14</v>
      </c>
      <c r="K63" s="235" t="s">
        <v>323</v>
      </c>
      <c r="L63" s="239">
        <v>4283</v>
      </c>
    </row>
    <row r="64" spans="3:12" x14ac:dyDescent="0.35">
      <c r="C64" s="22"/>
      <c r="I64" s="233">
        <v>12</v>
      </c>
      <c r="J64" s="233">
        <v>1</v>
      </c>
      <c r="K64" s="235" t="s">
        <v>324</v>
      </c>
      <c r="L64" s="239">
        <v>6153</v>
      </c>
    </row>
    <row r="65" spans="3:12" x14ac:dyDescent="0.35">
      <c r="C65" s="22"/>
      <c r="I65" s="233">
        <v>12</v>
      </c>
      <c r="J65" s="233">
        <v>4</v>
      </c>
      <c r="K65" s="235" t="s">
        <v>325</v>
      </c>
      <c r="L65" s="239">
        <v>3107</v>
      </c>
    </row>
    <row r="66" spans="3:12" x14ac:dyDescent="0.35">
      <c r="C66" s="22"/>
      <c r="I66" s="233">
        <v>12</v>
      </c>
      <c r="J66" s="233">
        <v>6</v>
      </c>
      <c r="K66" s="235" t="s">
        <v>326</v>
      </c>
      <c r="L66" s="239">
        <v>6137</v>
      </c>
    </row>
    <row r="67" spans="3:12" x14ac:dyDescent="0.35">
      <c r="C67" s="22"/>
      <c r="I67" s="233">
        <v>12</v>
      </c>
      <c r="J67" s="233">
        <v>8</v>
      </c>
      <c r="K67" s="235" t="s">
        <v>327</v>
      </c>
      <c r="L67" s="239">
        <v>3540</v>
      </c>
    </row>
    <row r="68" spans="3:12" x14ac:dyDescent="0.35">
      <c r="C68" s="22"/>
      <c r="I68" s="233">
        <v>12</v>
      </c>
      <c r="J68" s="233">
        <v>9</v>
      </c>
      <c r="K68" s="235" t="s">
        <v>328</v>
      </c>
      <c r="L68" s="239">
        <v>4007</v>
      </c>
    </row>
    <row r="69" spans="3:12" x14ac:dyDescent="0.35">
      <c r="C69" s="22"/>
      <c r="I69" s="233">
        <v>12</v>
      </c>
      <c r="J69" s="233">
        <v>11</v>
      </c>
      <c r="K69" s="235" t="s">
        <v>329</v>
      </c>
      <c r="L69" s="239">
        <v>8386</v>
      </c>
    </row>
    <row r="70" spans="3:12" x14ac:dyDescent="0.35">
      <c r="C70" s="22"/>
      <c r="I70" s="233">
        <v>12</v>
      </c>
      <c r="J70" s="233">
        <v>14</v>
      </c>
      <c r="K70" s="235" t="s">
        <v>330</v>
      </c>
      <c r="L70" s="239">
        <v>9471</v>
      </c>
    </row>
    <row r="71" spans="3:12" x14ac:dyDescent="0.35">
      <c r="C71" s="22"/>
      <c r="I71" s="233">
        <v>12</v>
      </c>
      <c r="J71" s="233">
        <v>16</v>
      </c>
      <c r="K71" s="235" t="s">
        <v>331</v>
      </c>
      <c r="L71" s="239">
        <v>2407</v>
      </c>
    </row>
    <row r="72" spans="3:12" x14ac:dyDescent="0.35">
      <c r="C72" s="22"/>
      <c r="I72" s="233">
        <v>12</v>
      </c>
      <c r="J72" s="233">
        <v>19</v>
      </c>
      <c r="K72" s="235" t="s">
        <v>332</v>
      </c>
      <c r="L72" s="239">
        <v>449</v>
      </c>
    </row>
    <row r="73" spans="3:12" x14ac:dyDescent="0.35">
      <c r="C73" s="22"/>
      <c r="I73" s="233">
        <v>12</v>
      </c>
      <c r="J73" s="233">
        <v>23</v>
      </c>
      <c r="K73" s="235" t="s">
        <v>333</v>
      </c>
      <c r="L73" s="239">
        <v>0</v>
      </c>
    </row>
    <row r="74" spans="3:12" x14ac:dyDescent="0.35">
      <c r="C74" s="22"/>
      <c r="I74" s="233">
        <v>13</v>
      </c>
      <c r="J74" s="233">
        <v>1</v>
      </c>
      <c r="K74" s="235" t="s">
        <v>334</v>
      </c>
      <c r="L74" s="239">
        <v>2161</v>
      </c>
    </row>
    <row r="75" spans="3:12" x14ac:dyDescent="0.35">
      <c r="C75" s="22"/>
      <c r="I75" s="233">
        <v>13</v>
      </c>
      <c r="J75" s="233">
        <v>4</v>
      </c>
      <c r="K75" s="235" t="s">
        <v>335</v>
      </c>
      <c r="L75" s="239">
        <v>4585</v>
      </c>
    </row>
    <row r="76" spans="3:12" x14ac:dyDescent="0.35">
      <c r="C76" s="22"/>
      <c r="I76" s="233">
        <v>13</v>
      </c>
      <c r="J76" s="233">
        <v>8</v>
      </c>
      <c r="K76" s="235" t="s">
        <v>336</v>
      </c>
      <c r="L76" s="239">
        <v>627</v>
      </c>
    </row>
    <row r="77" spans="3:12" x14ac:dyDescent="0.35">
      <c r="C77" s="22"/>
      <c r="I77" s="233">
        <v>14</v>
      </c>
      <c r="J77" s="233">
        <v>1</v>
      </c>
      <c r="K77" s="235" t="s">
        <v>337</v>
      </c>
      <c r="L77" s="239">
        <v>8963</v>
      </c>
    </row>
    <row r="78" spans="3:12" x14ac:dyDescent="0.35">
      <c r="C78" s="22"/>
      <c r="I78" s="233">
        <v>14</v>
      </c>
      <c r="J78" s="233">
        <v>2</v>
      </c>
      <c r="K78" s="235" t="s">
        <v>338</v>
      </c>
      <c r="L78" s="239">
        <v>4656</v>
      </c>
    </row>
    <row r="79" spans="3:12" x14ac:dyDescent="0.35">
      <c r="C79" s="22"/>
      <c r="I79" s="233">
        <v>14</v>
      </c>
      <c r="J79" s="233">
        <v>6</v>
      </c>
      <c r="K79" s="235" t="s">
        <v>339</v>
      </c>
      <c r="L79" s="239">
        <v>6138</v>
      </c>
    </row>
    <row r="80" spans="3:12" x14ac:dyDescent="0.35">
      <c r="C80" s="22"/>
      <c r="I80" s="233">
        <v>14</v>
      </c>
      <c r="J80" s="233">
        <v>10</v>
      </c>
      <c r="K80" s="235" t="s">
        <v>340</v>
      </c>
      <c r="L80" s="240">
        <v>372</v>
      </c>
    </row>
    <row r="81" spans="3:12" x14ac:dyDescent="0.35">
      <c r="C81" s="22"/>
      <c r="I81" s="233">
        <v>15</v>
      </c>
      <c r="J81" s="233">
        <v>1</v>
      </c>
      <c r="K81" s="235" t="s">
        <v>341</v>
      </c>
      <c r="L81" s="239">
        <v>3167</v>
      </c>
    </row>
    <row r="82" spans="3:12" x14ac:dyDescent="0.35">
      <c r="C82" s="22"/>
      <c r="I82" s="233">
        <v>15</v>
      </c>
      <c r="J82" s="233">
        <v>2</v>
      </c>
      <c r="K82" s="235" t="s">
        <v>342</v>
      </c>
      <c r="L82" s="239">
        <v>3210</v>
      </c>
    </row>
    <row r="83" spans="3:12" x14ac:dyDescent="0.35">
      <c r="C83" s="22"/>
      <c r="I83" s="233">
        <v>15</v>
      </c>
      <c r="J83" s="233">
        <v>5</v>
      </c>
      <c r="K83" s="235" t="s">
        <v>343</v>
      </c>
      <c r="L83" s="239">
        <v>20</v>
      </c>
    </row>
    <row r="84" spans="3:12" x14ac:dyDescent="0.35">
      <c r="C84" s="22"/>
      <c r="I84" s="233">
        <v>15</v>
      </c>
      <c r="J84" s="233">
        <v>6</v>
      </c>
      <c r="K84" s="235" t="s">
        <v>344</v>
      </c>
      <c r="L84" s="239">
        <v>4865</v>
      </c>
    </row>
    <row r="85" spans="3:12" x14ac:dyDescent="0.35">
      <c r="C85" s="22"/>
      <c r="I85" s="233">
        <v>15</v>
      </c>
      <c r="J85" s="233">
        <v>8</v>
      </c>
      <c r="K85" s="235" t="s">
        <v>345</v>
      </c>
      <c r="L85" s="239">
        <v>877</v>
      </c>
    </row>
    <row r="86" spans="3:12" x14ac:dyDescent="0.35">
      <c r="C86" s="22"/>
      <c r="I86" s="233">
        <v>15</v>
      </c>
      <c r="J86" s="233">
        <v>11</v>
      </c>
      <c r="K86" s="235" t="s">
        <v>346</v>
      </c>
      <c r="L86" s="239">
        <v>5207</v>
      </c>
    </row>
    <row r="87" spans="3:12" x14ac:dyDescent="0.35">
      <c r="C87" s="22"/>
      <c r="I87" s="233">
        <v>16</v>
      </c>
      <c r="J87" s="233">
        <v>1</v>
      </c>
      <c r="K87" s="235" t="s">
        <v>347</v>
      </c>
      <c r="L87" s="239">
        <v>3136</v>
      </c>
    </row>
    <row r="88" spans="3:12" x14ac:dyDescent="0.35">
      <c r="C88" s="22"/>
      <c r="I88" s="233">
        <v>16</v>
      </c>
      <c r="J88" s="233">
        <v>6</v>
      </c>
      <c r="K88" s="235" t="s">
        <v>348</v>
      </c>
      <c r="L88" s="239">
        <v>3763</v>
      </c>
    </row>
    <row r="89" spans="3:12" x14ac:dyDescent="0.35">
      <c r="C89" s="22"/>
      <c r="I89" s="233">
        <v>16</v>
      </c>
      <c r="J89" s="233">
        <v>11</v>
      </c>
      <c r="K89" s="235" t="s">
        <v>349</v>
      </c>
      <c r="L89" s="239">
        <v>1610</v>
      </c>
    </row>
    <row r="90" spans="3:12" x14ac:dyDescent="0.35">
      <c r="C90" s="22"/>
      <c r="I90" s="233">
        <v>16</v>
      </c>
      <c r="J90" s="233">
        <v>14</v>
      </c>
      <c r="K90" s="235" t="s">
        <v>350</v>
      </c>
      <c r="L90" s="239">
        <v>405</v>
      </c>
    </row>
    <row r="91" spans="3:12" x14ac:dyDescent="0.35">
      <c r="C91" s="22"/>
      <c r="I91" s="233">
        <v>17</v>
      </c>
      <c r="J91" s="233">
        <v>8</v>
      </c>
      <c r="K91" s="235" t="s">
        <v>351</v>
      </c>
      <c r="L91" s="239">
        <v>1103</v>
      </c>
    </row>
    <row r="92" spans="3:12" x14ac:dyDescent="0.35">
      <c r="C92" s="22"/>
      <c r="I92" s="233">
        <v>17</v>
      </c>
      <c r="J92" s="233">
        <v>20</v>
      </c>
      <c r="K92" s="235" t="s">
        <v>352</v>
      </c>
      <c r="L92" s="239">
        <v>3521</v>
      </c>
    </row>
    <row r="93" spans="3:12" x14ac:dyDescent="0.35">
      <c r="C93" s="22"/>
      <c r="I93" s="233">
        <v>17</v>
      </c>
      <c r="J93" s="233">
        <v>30</v>
      </c>
      <c r="K93" s="235" t="s">
        <v>353</v>
      </c>
      <c r="L93" s="239">
        <v>93694</v>
      </c>
    </row>
    <row r="94" spans="3:12" x14ac:dyDescent="0.35">
      <c r="C94" s="22"/>
      <c r="I94" s="233">
        <v>18</v>
      </c>
      <c r="J94" s="233">
        <v>1</v>
      </c>
      <c r="K94" s="235" t="s">
        <v>354</v>
      </c>
      <c r="L94" s="239">
        <v>4077</v>
      </c>
    </row>
    <row r="95" spans="3:12" x14ac:dyDescent="0.35">
      <c r="C95" s="22"/>
      <c r="I95" s="233">
        <v>18</v>
      </c>
      <c r="J95" s="233">
        <v>3</v>
      </c>
      <c r="K95" s="235" t="s">
        <v>355</v>
      </c>
      <c r="L95" s="239">
        <v>691</v>
      </c>
    </row>
    <row r="96" spans="3:12" ht="15" thickBot="1" x14ac:dyDescent="0.4">
      <c r="C96" s="22"/>
      <c r="I96" s="236">
        <v>18</v>
      </c>
      <c r="J96" s="236">
        <v>6</v>
      </c>
      <c r="K96" s="237" t="s">
        <v>356</v>
      </c>
      <c r="L96" s="241">
        <v>2673</v>
      </c>
    </row>
    <row r="97" spans="3:3" ht="15" thickTop="1" x14ac:dyDescent="0.35">
      <c r="C97" s="22"/>
    </row>
    <row r="98" spans="3:3" x14ac:dyDescent="0.35">
      <c r="C98" s="22"/>
    </row>
    <row r="99" spans="3:3" x14ac:dyDescent="0.35">
      <c r="C99" s="22"/>
    </row>
    <row r="100" spans="3:3" x14ac:dyDescent="0.35">
      <c r="C100" s="22"/>
    </row>
    <row r="101" spans="3:3" x14ac:dyDescent="0.35">
      <c r="C101" s="22"/>
    </row>
    <row r="102" spans="3:3" x14ac:dyDescent="0.35">
      <c r="C102" s="22"/>
    </row>
    <row r="103" spans="3:3" x14ac:dyDescent="0.35">
      <c r="C103" s="22"/>
    </row>
    <row r="104" spans="3:3" x14ac:dyDescent="0.35">
      <c r="C104" s="22"/>
    </row>
    <row r="105" spans="3:3" x14ac:dyDescent="0.35">
      <c r="C105" s="22"/>
    </row>
    <row r="106" spans="3:3" x14ac:dyDescent="0.35">
      <c r="C106" s="22"/>
    </row>
    <row r="107" spans="3:3" x14ac:dyDescent="0.35">
      <c r="C107" s="22"/>
    </row>
    <row r="108" spans="3:3" x14ac:dyDescent="0.35">
      <c r="C108" s="22"/>
    </row>
    <row r="109" spans="3:3" x14ac:dyDescent="0.35">
      <c r="C109" s="22"/>
    </row>
    <row r="110" spans="3:3" x14ac:dyDescent="0.35">
      <c r="C110" s="22"/>
    </row>
    <row r="111" spans="3:3" x14ac:dyDescent="0.35">
      <c r="C111" s="22"/>
    </row>
    <row r="112" spans="3:3" x14ac:dyDescent="0.35">
      <c r="C112" s="22"/>
    </row>
    <row r="113" spans="3:3" x14ac:dyDescent="0.35">
      <c r="C113" s="22"/>
    </row>
    <row r="114" spans="3:3" x14ac:dyDescent="0.35">
      <c r="C114" s="22"/>
    </row>
    <row r="115" spans="3:3" x14ac:dyDescent="0.35">
      <c r="C115" s="22"/>
    </row>
    <row r="116" spans="3:3" x14ac:dyDescent="0.35">
      <c r="C116" s="22"/>
    </row>
    <row r="117" spans="3:3" x14ac:dyDescent="0.35">
      <c r="C117" s="22"/>
    </row>
    <row r="118" spans="3:3" x14ac:dyDescent="0.35">
      <c r="C118" s="22"/>
    </row>
    <row r="119" spans="3:3" x14ac:dyDescent="0.35">
      <c r="C119" s="22"/>
    </row>
    <row r="120" spans="3:3" x14ac:dyDescent="0.35">
      <c r="C120" s="22"/>
    </row>
    <row r="121" spans="3:3" x14ac:dyDescent="0.35">
      <c r="C121" s="22"/>
    </row>
    <row r="122" spans="3:3" x14ac:dyDescent="0.35">
      <c r="C122" s="22"/>
    </row>
    <row r="123" spans="3:3" x14ac:dyDescent="0.35">
      <c r="C123" s="22"/>
    </row>
    <row r="124" spans="3:3" x14ac:dyDescent="0.35">
      <c r="C124" s="22"/>
    </row>
    <row r="125" spans="3:3" x14ac:dyDescent="0.35">
      <c r="C125" s="22"/>
    </row>
    <row r="126" spans="3:3" x14ac:dyDescent="0.35">
      <c r="C126" s="22"/>
    </row>
    <row r="127" spans="3:3" x14ac:dyDescent="0.35">
      <c r="C127" s="22"/>
    </row>
    <row r="128" spans="3:3" x14ac:dyDescent="0.35">
      <c r="C128" s="22"/>
    </row>
    <row r="129" spans="3:3" x14ac:dyDescent="0.35">
      <c r="C129" s="22"/>
    </row>
    <row r="130" spans="3:3" x14ac:dyDescent="0.35">
      <c r="C130" s="22"/>
    </row>
    <row r="131" spans="3:3" x14ac:dyDescent="0.35">
      <c r="C131" s="22"/>
    </row>
    <row r="132" spans="3:3" x14ac:dyDescent="0.35">
      <c r="C132" s="22"/>
    </row>
    <row r="133" spans="3:3" x14ac:dyDescent="0.35">
      <c r="C133" s="22"/>
    </row>
    <row r="134" spans="3:3" x14ac:dyDescent="0.35">
      <c r="C134" s="22"/>
    </row>
    <row r="135" spans="3:3" x14ac:dyDescent="0.35">
      <c r="C135" s="22"/>
    </row>
    <row r="136" spans="3:3" x14ac:dyDescent="0.35">
      <c r="C136" s="22"/>
    </row>
    <row r="137" spans="3:3" x14ac:dyDescent="0.35">
      <c r="C137" s="22"/>
    </row>
    <row r="138" spans="3:3" x14ac:dyDescent="0.35">
      <c r="C138" s="22"/>
    </row>
    <row r="139" spans="3:3" x14ac:dyDescent="0.35">
      <c r="C139" s="22"/>
    </row>
    <row r="140" spans="3:3" x14ac:dyDescent="0.35">
      <c r="C140" s="22"/>
    </row>
    <row r="141" spans="3:3" x14ac:dyDescent="0.35">
      <c r="C141" s="22"/>
    </row>
    <row r="142" spans="3:3" x14ac:dyDescent="0.35">
      <c r="C142" s="22"/>
    </row>
    <row r="143" spans="3:3" x14ac:dyDescent="0.35">
      <c r="C143" s="22"/>
    </row>
    <row r="144" spans="3:3" x14ac:dyDescent="0.35">
      <c r="C144" s="22"/>
    </row>
    <row r="145" spans="3:3" x14ac:dyDescent="0.35">
      <c r="C145" s="22"/>
    </row>
    <row r="146" spans="3:3" x14ac:dyDescent="0.35">
      <c r="C146" s="22"/>
    </row>
    <row r="147" spans="3:3" x14ac:dyDescent="0.35">
      <c r="C147" s="22"/>
    </row>
    <row r="148" spans="3:3" x14ac:dyDescent="0.35">
      <c r="C148" s="22"/>
    </row>
    <row r="149" spans="3:3" x14ac:dyDescent="0.35">
      <c r="C149" s="22"/>
    </row>
    <row r="150" spans="3:3" x14ac:dyDescent="0.35">
      <c r="C150" s="22"/>
    </row>
    <row r="151" spans="3:3" x14ac:dyDescent="0.35">
      <c r="C151" s="22"/>
    </row>
    <row r="152" spans="3:3" x14ac:dyDescent="0.35">
      <c r="C152" s="22"/>
    </row>
    <row r="153" spans="3:3" x14ac:dyDescent="0.35">
      <c r="C153" s="22"/>
    </row>
    <row r="154" spans="3:3" x14ac:dyDescent="0.35">
      <c r="C154" s="22"/>
    </row>
    <row r="155" spans="3:3" x14ac:dyDescent="0.35">
      <c r="C155" s="22"/>
    </row>
    <row r="156" spans="3:3" x14ac:dyDescent="0.35">
      <c r="C156" s="22"/>
    </row>
    <row r="157" spans="3:3" x14ac:dyDescent="0.35">
      <c r="C157" s="22"/>
    </row>
    <row r="158" spans="3:3" x14ac:dyDescent="0.35">
      <c r="C158" s="22"/>
    </row>
    <row r="159" spans="3:3" x14ac:dyDescent="0.35">
      <c r="C159" s="22"/>
    </row>
    <row r="160" spans="3:3" x14ac:dyDescent="0.35">
      <c r="C160" s="22"/>
    </row>
    <row r="161" spans="3:3" x14ac:dyDescent="0.35">
      <c r="C161" s="22"/>
    </row>
    <row r="162" spans="3:3" x14ac:dyDescent="0.35">
      <c r="C162" s="22"/>
    </row>
    <row r="163" spans="3:3" x14ac:dyDescent="0.35">
      <c r="C163" s="22"/>
    </row>
    <row r="164" spans="3:3" x14ac:dyDescent="0.35">
      <c r="C164" s="22"/>
    </row>
    <row r="165" spans="3:3" x14ac:dyDescent="0.35">
      <c r="C165" s="22"/>
    </row>
    <row r="166" spans="3:3" x14ac:dyDescent="0.35">
      <c r="C166" s="22"/>
    </row>
    <row r="167" spans="3:3" x14ac:dyDescent="0.35">
      <c r="C167" s="22"/>
    </row>
    <row r="168" spans="3:3" x14ac:dyDescent="0.35">
      <c r="C168" s="22"/>
    </row>
    <row r="169" spans="3:3" x14ac:dyDescent="0.35">
      <c r="C169" s="22"/>
    </row>
    <row r="170" spans="3:3" x14ac:dyDescent="0.35">
      <c r="C170" s="22"/>
    </row>
    <row r="171" spans="3:3" x14ac:dyDescent="0.35">
      <c r="C171" s="22"/>
    </row>
    <row r="172" spans="3:3" x14ac:dyDescent="0.35">
      <c r="C172" s="22"/>
    </row>
    <row r="173" spans="3:3" x14ac:dyDescent="0.35">
      <c r="C173" s="22"/>
    </row>
    <row r="174" spans="3:3" x14ac:dyDescent="0.35">
      <c r="C174" s="22"/>
    </row>
    <row r="175" spans="3:3" x14ac:dyDescent="0.35">
      <c r="C175" s="22"/>
    </row>
    <row r="176" spans="3:3" x14ac:dyDescent="0.35">
      <c r="C176" s="22"/>
    </row>
    <row r="177" spans="3:3" x14ac:dyDescent="0.35">
      <c r="C177" s="22"/>
    </row>
    <row r="178" spans="3:3" x14ac:dyDescent="0.35">
      <c r="C178" s="22"/>
    </row>
    <row r="179" spans="3:3" x14ac:dyDescent="0.35">
      <c r="C179" s="22"/>
    </row>
    <row r="180" spans="3:3" x14ac:dyDescent="0.35">
      <c r="C180" s="22"/>
    </row>
    <row r="181" spans="3:3" x14ac:dyDescent="0.35">
      <c r="C181" s="22"/>
    </row>
    <row r="182" spans="3:3" x14ac:dyDescent="0.35">
      <c r="C182" s="22"/>
    </row>
    <row r="183" spans="3:3" x14ac:dyDescent="0.35">
      <c r="C183" s="22"/>
    </row>
    <row r="184" spans="3:3" x14ac:dyDescent="0.35">
      <c r="C184" s="22"/>
    </row>
    <row r="185" spans="3:3" x14ac:dyDescent="0.35">
      <c r="C185" s="22"/>
    </row>
    <row r="186" spans="3:3" x14ac:dyDescent="0.35">
      <c r="C186" s="22"/>
    </row>
    <row r="187" spans="3:3" x14ac:dyDescent="0.35">
      <c r="C187" s="22"/>
    </row>
    <row r="188" spans="3:3" x14ac:dyDescent="0.35">
      <c r="C188" s="22"/>
    </row>
    <row r="189" spans="3:3" x14ac:dyDescent="0.35">
      <c r="C189" s="22"/>
    </row>
    <row r="190" spans="3:3" x14ac:dyDescent="0.35">
      <c r="C190" s="22"/>
    </row>
    <row r="191" spans="3:3" x14ac:dyDescent="0.35">
      <c r="C191" s="22"/>
    </row>
    <row r="192" spans="3:3" x14ac:dyDescent="0.35">
      <c r="C192" s="22"/>
    </row>
    <row r="193" spans="3:3" x14ac:dyDescent="0.35">
      <c r="C193" s="22"/>
    </row>
    <row r="194" spans="3:3" x14ac:dyDescent="0.35">
      <c r="C194" s="22"/>
    </row>
    <row r="195" spans="3:3" x14ac:dyDescent="0.35">
      <c r="C195" s="22"/>
    </row>
    <row r="196" spans="3:3" x14ac:dyDescent="0.35">
      <c r="C196" s="22"/>
    </row>
    <row r="197" spans="3:3" x14ac:dyDescent="0.35">
      <c r="C197" s="22"/>
    </row>
    <row r="198" spans="3:3" x14ac:dyDescent="0.35">
      <c r="C198" s="22"/>
    </row>
    <row r="199" spans="3:3" x14ac:dyDescent="0.35">
      <c r="C199" s="22"/>
    </row>
    <row r="200" spans="3:3" x14ac:dyDescent="0.35">
      <c r="C200" s="22"/>
    </row>
    <row r="201" spans="3:3" x14ac:dyDescent="0.35">
      <c r="C201" s="22"/>
    </row>
    <row r="202" spans="3:3" x14ac:dyDescent="0.35">
      <c r="C202" s="22"/>
    </row>
    <row r="203" spans="3:3" x14ac:dyDescent="0.35">
      <c r="C203" s="22"/>
    </row>
    <row r="204" spans="3:3" x14ac:dyDescent="0.35">
      <c r="C204" s="22"/>
    </row>
    <row r="205" spans="3:3" x14ac:dyDescent="0.35">
      <c r="C205" s="22"/>
    </row>
    <row r="206" spans="3:3" x14ac:dyDescent="0.35">
      <c r="C206" s="22"/>
    </row>
    <row r="207" spans="3:3" x14ac:dyDescent="0.35">
      <c r="C207" s="22"/>
    </row>
    <row r="208" spans="3:3" x14ac:dyDescent="0.35">
      <c r="C208" s="22"/>
    </row>
    <row r="209" spans="3:3" x14ac:dyDescent="0.35">
      <c r="C209" s="22"/>
    </row>
    <row r="210" spans="3:3" x14ac:dyDescent="0.35">
      <c r="C210" s="22"/>
    </row>
    <row r="211" spans="3:3" x14ac:dyDescent="0.35">
      <c r="C211" s="22"/>
    </row>
    <row r="212" spans="3:3" x14ac:dyDescent="0.35">
      <c r="C212" s="22"/>
    </row>
    <row r="213" spans="3:3" x14ac:dyDescent="0.35">
      <c r="C213" s="22"/>
    </row>
    <row r="214" spans="3:3" x14ac:dyDescent="0.35">
      <c r="C214" s="22"/>
    </row>
    <row r="215" spans="3:3" x14ac:dyDescent="0.35">
      <c r="C215" s="22"/>
    </row>
    <row r="216" spans="3:3" x14ac:dyDescent="0.35">
      <c r="C216" s="22"/>
    </row>
    <row r="217" spans="3:3" x14ac:dyDescent="0.35">
      <c r="C217" s="22"/>
    </row>
    <row r="218" spans="3:3" x14ac:dyDescent="0.35">
      <c r="C218" s="22"/>
    </row>
    <row r="219" spans="3:3" x14ac:dyDescent="0.35">
      <c r="C219" s="22"/>
    </row>
    <row r="220" spans="3:3" x14ac:dyDescent="0.35">
      <c r="C220" s="22"/>
    </row>
    <row r="221" spans="3:3" x14ac:dyDescent="0.35">
      <c r="C221" s="22"/>
    </row>
    <row r="222" spans="3:3" x14ac:dyDescent="0.35">
      <c r="C222" s="22"/>
    </row>
    <row r="223" spans="3:3" x14ac:dyDescent="0.35">
      <c r="C223" s="22"/>
    </row>
    <row r="224" spans="3:3" x14ac:dyDescent="0.35">
      <c r="C224" s="22"/>
    </row>
    <row r="225" spans="3:3" x14ac:dyDescent="0.35">
      <c r="C225" s="22"/>
    </row>
    <row r="226" spans="3:3" x14ac:dyDescent="0.35">
      <c r="C226" s="22"/>
    </row>
    <row r="227" spans="3:3" x14ac:dyDescent="0.35">
      <c r="C227" s="22"/>
    </row>
    <row r="228" spans="3:3" x14ac:dyDescent="0.35">
      <c r="C228" s="22"/>
    </row>
    <row r="229" spans="3:3" x14ac:dyDescent="0.35">
      <c r="C229" s="22"/>
    </row>
    <row r="230" spans="3:3" x14ac:dyDescent="0.35">
      <c r="C230" s="22"/>
    </row>
    <row r="231" spans="3:3" x14ac:dyDescent="0.35">
      <c r="C231" s="22"/>
    </row>
    <row r="232" spans="3:3" x14ac:dyDescent="0.35">
      <c r="C232" s="22"/>
    </row>
    <row r="233" spans="3:3" x14ac:dyDescent="0.35">
      <c r="C233" s="22"/>
    </row>
    <row r="234" spans="3:3" x14ac:dyDescent="0.35">
      <c r="C234" s="22"/>
    </row>
    <row r="235" spans="3:3" x14ac:dyDescent="0.35">
      <c r="C235" s="22"/>
    </row>
    <row r="236" spans="3:3" x14ac:dyDescent="0.35">
      <c r="C236" s="22"/>
    </row>
    <row r="237" spans="3:3" x14ac:dyDescent="0.35">
      <c r="C237" s="22"/>
    </row>
    <row r="238" spans="3:3" x14ac:dyDescent="0.35">
      <c r="C238" s="22"/>
    </row>
    <row r="239" spans="3:3" x14ac:dyDescent="0.35">
      <c r="C239" s="22"/>
    </row>
    <row r="240" spans="3:3" x14ac:dyDescent="0.35">
      <c r="C240" s="22"/>
    </row>
    <row r="241" spans="3:3" x14ac:dyDescent="0.35">
      <c r="C241" s="22"/>
    </row>
    <row r="242" spans="3:3" x14ac:dyDescent="0.35">
      <c r="C242" s="22"/>
    </row>
    <row r="243" spans="3:3" x14ac:dyDescent="0.35">
      <c r="C243" s="22"/>
    </row>
    <row r="244" spans="3:3" x14ac:dyDescent="0.35">
      <c r="C244" s="22"/>
    </row>
    <row r="245" spans="3:3" x14ac:dyDescent="0.35">
      <c r="C245" s="22"/>
    </row>
    <row r="246" spans="3:3" x14ac:dyDescent="0.35">
      <c r="C246" s="22"/>
    </row>
    <row r="247" spans="3:3" x14ac:dyDescent="0.35">
      <c r="C247" s="22"/>
    </row>
    <row r="248" spans="3:3" x14ac:dyDescent="0.35">
      <c r="C248" s="22"/>
    </row>
    <row r="249" spans="3:3" x14ac:dyDescent="0.35">
      <c r="C249" s="22"/>
    </row>
    <row r="250" spans="3:3" x14ac:dyDescent="0.35">
      <c r="C250" s="22"/>
    </row>
    <row r="251" spans="3:3" x14ac:dyDescent="0.35">
      <c r="C251" s="22"/>
    </row>
    <row r="252" spans="3:3" x14ac:dyDescent="0.35">
      <c r="C252" s="22"/>
    </row>
  </sheetData>
  <conditionalFormatting sqref="G21:G38 G40:G1048576">
    <cfRule type="containsText" dxfId="7" priority="1" operator="containsText" text="WOOHOO">
      <formula>NOT(ISERROR(SEARCH("WOOHOO",G21)))</formula>
    </cfRule>
  </conditionalFormatting>
  <hyperlinks>
    <hyperlink ref="B1" location="Menu!A1" display="Main Menu" xr:uid="{54FD2DE7-88E2-4378-9399-99F5D05F44BD}"/>
    <hyperlink ref="C1" location="'B4 Instructions'!A1" display="Instructions" xr:uid="{F4309410-D09D-4D6F-9C12-82BF47B33FCC}"/>
    <hyperlink ref="D1" location="'2021 CSD'!A1" display="       Data worksheet       " xr:uid="{B9313050-2FB6-4143-8B4E-04FDFAFC9992}"/>
  </hyperlinks>
  <pageMargins left="0.7" right="0.7" top="0.75" bottom="0.75" header="0.3" footer="0.3"/>
  <pageSetup orientation="portrait" r:id="rId1"/>
  <ignoredErrors>
    <ignoredError sqref="C253:C271" twoDigitTextYea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FFFF00"/>
  </sheetPr>
  <dimension ref="A1:F64"/>
  <sheetViews>
    <sheetView workbookViewId="0"/>
  </sheetViews>
  <sheetFormatPr defaultColWidth="11.453125" defaultRowHeight="14.5" x14ac:dyDescent="0.35"/>
  <cols>
    <col min="1" max="1" width="6.54296875" style="87" customWidth="1"/>
    <col min="2" max="2" width="23.453125" style="83" customWidth="1"/>
    <col min="3" max="3" width="29.453125" style="50" customWidth="1"/>
    <col min="4" max="4" width="23.453125" style="50" customWidth="1"/>
    <col min="5" max="5" width="11.453125" style="50" customWidth="1"/>
    <col min="6" max="16384" width="11.453125" style="50"/>
  </cols>
  <sheetData>
    <row r="1" spans="1:4" ht="18.5" x14ac:dyDescent="0.35">
      <c r="A1" s="87" t="s">
        <v>130</v>
      </c>
      <c r="B1" s="80" t="s">
        <v>243</v>
      </c>
      <c r="C1" s="80" t="s">
        <v>244</v>
      </c>
      <c r="D1" s="113" t="s">
        <v>245</v>
      </c>
    </row>
    <row r="2" spans="1:4" ht="15" thickBot="1" x14ac:dyDescent="0.4"/>
    <row r="3" spans="1:4" ht="18.5" x14ac:dyDescent="0.45">
      <c r="B3" s="55"/>
      <c r="C3" s="77" t="s">
        <v>845</v>
      </c>
      <c r="D3" s="84"/>
    </row>
    <row r="4" spans="1:4" x14ac:dyDescent="0.35">
      <c r="B4" s="59"/>
      <c r="C4" s="54"/>
      <c r="D4" s="58"/>
    </row>
    <row r="5" spans="1:4" ht="15.5" x14ac:dyDescent="0.35">
      <c r="B5" s="59"/>
      <c r="C5" s="85" t="s">
        <v>234</v>
      </c>
      <c r="D5" s="58"/>
    </row>
    <row r="6" spans="1:4" x14ac:dyDescent="0.35">
      <c r="B6" s="59"/>
      <c r="C6" s="78" t="s">
        <v>242</v>
      </c>
      <c r="D6" s="58"/>
    </row>
    <row r="7" spans="1:4" x14ac:dyDescent="0.35">
      <c r="B7" s="59"/>
      <c r="C7" s="78"/>
      <c r="D7" s="58"/>
    </row>
    <row r="8" spans="1:4" ht="15.5" x14ac:dyDescent="0.35">
      <c r="B8" s="59"/>
      <c r="C8" s="85" t="s">
        <v>235</v>
      </c>
      <c r="D8" s="58"/>
    </row>
    <row r="9" spans="1:4" x14ac:dyDescent="0.35">
      <c r="B9" s="59"/>
      <c r="C9" s="78" t="s">
        <v>236</v>
      </c>
      <c r="D9" s="58"/>
    </row>
    <row r="10" spans="1:4" x14ac:dyDescent="0.35">
      <c r="B10" s="59"/>
      <c r="D10" s="60"/>
    </row>
    <row r="11" spans="1:4" ht="15.5" x14ac:dyDescent="0.35">
      <c r="B11" s="59"/>
      <c r="C11" s="85" t="s">
        <v>237</v>
      </c>
      <c r="D11" s="60"/>
    </row>
    <row r="12" spans="1:4" x14ac:dyDescent="0.35">
      <c r="B12" s="59"/>
      <c r="C12" s="78" t="s">
        <v>414</v>
      </c>
      <c r="D12" s="60"/>
    </row>
    <row r="13" spans="1:4" x14ac:dyDescent="0.35">
      <c r="B13" s="59"/>
      <c r="C13" s="78" t="s">
        <v>367</v>
      </c>
      <c r="D13" s="60"/>
    </row>
    <row r="14" spans="1:4" ht="15" thickBot="1" x14ac:dyDescent="0.4">
      <c r="B14" s="86"/>
      <c r="C14" s="63"/>
      <c r="D14" s="65"/>
    </row>
    <row r="15" spans="1:4" x14ac:dyDescent="0.35">
      <c r="B15" s="50"/>
    </row>
    <row r="16" spans="1:4" s="101" customFormat="1" ht="18.5" x14ac:dyDescent="0.45">
      <c r="A16" s="98" t="s">
        <v>130</v>
      </c>
      <c r="B16" s="99" t="s">
        <v>238</v>
      </c>
      <c r="C16" s="100"/>
    </row>
    <row r="17" spans="1:6" x14ac:dyDescent="0.35">
      <c r="B17" s="50" t="s">
        <v>259</v>
      </c>
    </row>
    <row r="18" spans="1:6" x14ac:dyDescent="0.35">
      <c r="B18" s="50" t="s">
        <v>239</v>
      </c>
    </row>
    <row r="19" spans="1:6" x14ac:dyDescent="0.35">
      <c r="B19" s="50" t="s">
        <v>240</v>
      </c>
    </row>
    <row r="20" spans="1:6" x14ac:dyDescent="0.35">
      <c r="B20" s="50" t="s">
        <v>241</v>
      </c>
    </row>
    <row r="21" spans="1:6" x14ac:dyDescent="0.35">
      <c r="B21" s="50"/>
    </row>
    <row r="22" spans="1:6" s="97" customFormat="1" ht="18.5" x14ac:dyDescent="0.45">
      <c r="A22" s="93" t="s">
        <v>130</v>
      </c>
      <c r="B22" s="95" t="s">
        <v>16</v>
      </c>
      <c r="C22" s="96" t="s">
        <v>144</v>
      </c>
    </row>
    <row r="23" spans="1:6" x14ac:dyDescent="0.35">
      <c r="B23" s="108"/>
      <c r="C23" s="109"/>
    </row>
    <row r="24" spans="1:6" s="94" customFormat="1" ht="18.5" x14ac:dyDescent="0.35">
      <c r="A24" s="93" t="s">
        <v>130</v>
      </c>
      <c r="B24" s="94" t="s">
        <v>827</v>
      </c>
    </row>
    <row r="25" spans="1:6" customFormat="1" x14ac:dyDescent="0.35">
      <c r="A25" s="88"/>
      <c r="B25" s="92" t="s">
        <v>4</v>
      </c>
      <c r="C25" s="299" t="s">
        <v>826</v>
      </c>
      <c r="E25" s="1"/>
      <c r="F25" s="1"/>
    </row>
    <row r="26" spans="1:6" customFormat="1" ht="29" x14ac:dyDescent="0.35">
      <c r="A26" s="88"/>
      <c r="B26" s="92" t="s">
        <v>5</v>
      </c>
      <c r="C26" s="91" t="str">
        <f>B25&amp;B26&amp;B27&amp;B28&amp;B29</f>
        <v>Use &amp; to concatenate.Use the address of a cell to concatenate it.If the cell contains a number, it will be converted to text.26is a number.</v>
      </c>
    </row>
    <row r="27" spans="1:6" customFormat="1" ht="43.5" x14ac:dyDescent="0.35">
      <c r="A27" s="88"/>
      <c r="B27" s="92" t="s">
        <v>6</v>
      </c>
      <c r="C27" s="91"/>
    </row>
    <row r="28" spans="1:6" customFormat="1" x14ac:dyDescent="0.35">
      <c r="A28" s="88"/>
      <c r="B28" s="92">
        <v>26</v>
      </c>
      <c r="C28" s="91"/>
    </row>
    <row r="29" spans="1:6" customFormat="1" x14ac:dyDescent="0.35">
      <c r="A29" s="88"/>
      <c r="B29" s="92" t="s">
        <v>7</v>
      </c>
      <c r="C29" s="91"/>
    </row>
    <row r="30" spans="1:6" customFormat="1" x14ac:dyDescent="0.35">
      <c r="A30" s="88"/>
      <c r="B30" s="90"/>
      <c r="C30" s="89"/>
    </row>
    <row r="31" spans="1:6" s="94" customFormat="1" ht="18.5" x14ac:dyDescent="0.35">
      <c r="A31" s="93" t="s">
        <v>130</v>
      </c>
      <c r="B31" s="94" t="s">
        <v>828</v>
      </c>
    </row>
    <row r="32" spans="1:6" customFormat="1" x14ac:dyDescent="0.35">
      <c r="A32" s="88"/>
      <c r="B32" s="92" t="s">
        <v>3</v>
      </c>
      <c r="C32" s="298" t="s">
        <v>829</v>
      </c>
    </row>
    <row r="33" spans="1:6" customFormat="1" x14ac:dyDescent="0.35">
      <c r="A33" s="88"/>
      <c r="B33" s="92" t="s">
        <v>250</v>
      </c>
      <c r="C33" s="89" t="str">
        <f>"Text inserted. "&amp;B32&amp;" "&amp;B33</f>
        <v>Text inserted. Use "" to insert text. Wow there are spaces!</v>
      </c>
    </row>
    <row r="34" spans="1:6" customFormat="1" x14ac:dyDescent="0.35">
      <c r="A34" s="88"/>
      <c r="B34" s="91"/>
      <c r="C34" s="89"/>
    </row>
    <row r="35" spans="1:6" s="94" customFormat="1" ht="18.5" x14ac:dyDescent="0.35">
      <c r="A35" s="93" t="s">
        <v>130</v>
      </c>
      <c r="B35" s="94" t="s">
        <v>830</v>
      </c>
    </row>
    <row r="36" spans="1:6" customFormat="1" ht="29" x14ac:dyDescent="0.35">
      <c r="A36" s="88"/>
      <c r="B36" s="92" t="s">
        <v>248</v>
      </c>
      <c r="C36" s="299" t="s">
        <v>831</v>
      </c>
    </row>
    <row r="37" spans="1:6" customFormat="1" ht="29" x14ac:dyDescent="0.35">
      <c r="A37" s="88"/>
      <c r="B37" s="92" t="s">
        <v>249</v>
      </c>
      <c r="C37" s="89" t="str">
        <f>"""Wow!"" "&amp;B36&amp;B37</f>
        <v xml:space="preserve">"Wow!" Use """ to insert the " symbol, look carefully at the resulting formula </v>
      </c>
    </row>
    <row r="38" spans="1:6" customFormat="1" x14ac:dyDescent="0.35">
      <c r="A38" s="88"/>
      <c r="B38" s="2"/>
      <c r="C38" s="89"/>
    </row>
    <row r="39" spans="1:6" s="94" customFormat="1" ht="18.5" x14ac:dyDescent="0.35">
      <c r="A39" s="93" t="s">
        <v>130</v>
      </c>
      <c r="B39" s="94" t="s">
        <v>832</v>
      </c>
    </row>
    <row r="40" spans="1:6" customFormat="1" x14ac:dyDescent="0.35">
      <c r="A40" s="88"/>
      <c r="B40" s="92"/>
      <c r="C40" s="299" t="s">
        <v>833</v>
      </c>
    </row>
    <row r="41" spans="1:6" customFormat="1" ht="87" x14ac:dyDescent="0.35">
      <c r="A41" s="88"/>
      <c r="B41" s="92" t="s">
        <v>8</v>
      </c>
      <c r="C41" s="102" t="str">
        <f>B41&amp;" "&amp;C37</f>
        <v xml:space="preserve">Notice that the content displayed by cells with formulas is concatenated, not the formula itself. "Wow!" Use """ to insert the " symbol, look carefully at the resulting formula </v>
      </c>
    </row>
    <row r="42" spans="1:6" customFormat="1" x14ac:dyDescent="0.35">
      <c r="A42" s="88"/>
      <c r="B42" s="2"/>
    </row>
    <row r="43" spans="1:6" s="101" customFormat="1" ht="18.5" x14ac:dyDescent="0.45">
      <c r="A43" s="98" t="s">
        <v>130</v>
      </c>
      <c r="B43" s="99" t="s">
        <v>256</v>
      </c>
      <c r="C43" s="100"/>
    </row>
    <row r="45" spans="1:6" s="94" customFormat="1" ht="18.5" x14ac:dyDescent="0.35">
      <c r="A45" s="93" t="s">
        <v>130</v>
      </c>
      <c r="B45" s="94" t="s">
        <v>251</v>
      </c>
    </row>
    <row r="46" spans="1:6" customFormat="1" x14ac:dyDescent="0.35">
      <c r="A46" s="88"/>
      <c r="B46" s="92" t="s">
        <v>4</v>
      </c>
      <c r="C46" s="299" t="s">
        <v>834</v>
      </c>
      <c r="E46" s="1"/>
      <c r="F46" s="1"/>
    </row>
    <row r="47" spans="1:6" customFormat="1" ht="29" x14ac:dyDescent="0.35">
      <c r="A47" s="88"/>
      <c r="B47" s="92" t="s">
        <v>5</v>
      </c>
      <c r="C47" s="91" t="str">
        <f>_xlfn.TEXTJOIN(" ",TRUE,B46:B47)</f>
        <v>Use &amp; to concatenate. Use the address of a cell to concatenate it.</v>
      </c>
    </row>
    <row r="48" spans="1:6" customFormat="1" x14ac:dyDescent="0.35">
      <c r="A48" s="88"/>
      <c r="B48" s="2"/>
    </row>
    <row r="49" spans="1:6" customFormat="1" x14ac:dyDescent="0.35">
      <c r="A49" s="103"/>
      <c r="B49" s="2" t="s">
        <v>261</v>
      </c>
    </row>
    <row r="50" spans="1:6" customFormat="1" x14ac:dyDescent="0.35">
      <c r="A50" s="88"/>
      <c r="B50" s="2" t="s">
        <v>255</v>
      </c>
    </row>
    <row r="51" spans="1:6" customFormat="1" x14ac:dyDescent="0.35">
      <c r="A51" s="88"/>
      <c r="B51" s="2"/>
    </row>
    <row r="52" spans="1:6" s="94" customFormat="1" ht="18.5" x14ac:dyDescent="0.35">
      <c r="A52" s="93" t="s">
        <v>130</v>
      </c>
      <c r="B52" s="94" t="s">
        <v>252</v>
      </c>
    </row>
    <row r="53" spans="1:6" customFormat="1" x14ac:dyDescent="0.35">
      <c r="A53" s="88"/>
      <c r="B53" s="92" t="s">
        <v>4</v>
      </c>
      <c r="C53" s="299" t="s">
        <v>835</v>
      </c>
      <c r="E53" s="1"/>
      <c r="F53" s="1"/>
    </row>
    <row r="54" spans="1:6" customFormat="1" ht="29" x14ac:dyDescent="0.35">
      <c r="A54" s="88"/>
      <c r="B54" s="92" t="s">
        <v>5</v>
      </c>
      <c r="C54" s="91" t="str">
        <f>_xlfn.CONCAT(B53:B54)</f>
        <v>Use &amp; to concatenate.Use the address of a cell to concatenate it.</v>
      </c>
    </row>
    <row r="55" spans="1:6" customFormat="1" x14ac:dyDescent="0.35">
      <c r="A55" s="88"/>
      <c r="B55" s="2"/>
    </row>
    <row r="56" spans="1:6" customFormat="1" x14ac:dyDescent="0.35">
      <c r="A56" s="103"/>
      <c r="B56" s="2" t="s">
        <v>253</v>
      </c>
    </row>
    <row r="57" spans="1:6" customFormat="1" x14ac:dyDescent="0.35">
      <c r="A57" s="88"/>
      <c r="B57" s="2" t="s">
        <v>254</v>
      </c>
    </row>
    <row r="58" spans="1:6" customFormat="1" x14ac:dyDescent="0.35">
      <c r="A58" s="88"/>
      <c r="B58" s="2"/>
    </row>
    <row r="59" spans="1:6" s="94" customFormat="1" ht="18.5" x14ac:dyDescent="0.35">
      <c r="A59" s="93" t="s">
        <v>130</v>
      </c>
      <c r="B59" s="94" t="s">
        <v>380</v>
      </c>
    </row>
    <row r="60" spans="1:6" x14ac:dyDescent="0.35">
      <c r="B60" s="199" t="s">
        <v>257</v>
      </c>
      <c r="C60" s="200"/>
      <c r="E60" s="51"/>
      <c r="F60" s="51"/>
    </row>
    <row r="62" spans="1:6" x14ac:dyDescent="0.35">
      <c r="A62" s="103"/>
      <c r="B62" s="83" t="s">
        <v>258</v>
      </c>
    </row>
    <row r="63" spans="1:6" x14ac:dyDescent="0.35">
      <c r="B63" s="83" t="s">
        <v>260</v>
      </c>
    </row>
    <row r="64" spans="1:6" x14ac:dyDescent="0.35">
      <c r="B64" s="83" t="s">
        <v>387</v>
      </c>
    </row>
  </sheetData>
  <hyperlinks>
    <hyperlink ref="B1" location="Menu!A1" display="Main Menu" xr:uid="{3E8B37AB-DDAC-470A-BDCA-3BCB146E4D90}"/>
    <hyperlink ref="C1" location="'C1 Exercise'!A1" display="              Exercise              " xr:uid="{1E6085B6-9FCE-4D34-AAE8-5FFABB90FE6E}"/>
    <hyperlink ref="D1" location="'2021 CSD'!A1" display="       Data worksheet       " xr:uid="{E5156C4D-16EC-4822-B18F-A317848870F6}"/>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002060"/>
  </sheetPr>
  <dimension ref="A1:H32"/>
  <sheetViews>
    <sheetView workbookViewId="0"/>
  </sheetViews>
  <sheetFormatPr defaultColWidth="11.453125" defaultRowHeight="14.5" x14ac:dyDescent="0.35"/>
  <cols>
    <col min="1" max="1" width="5.6328125" customWidth="1"/>
    <col min="2" max="4" width="23.453125" customWidth="1"/>
    <col min="5" max="5" width="9.36328125" style="2" customWidth="1"/>
    <col min="6" max="6" width="10.453125" customWidth="1"/>
    <col min="7" max="7" width="3.453125" customWidth="1"/>
    <col min="8" max="8" width="18.36328125" customWidth="1"/>
  </cols>
  <sheetData>
    <row r="1" spans="1:5" s="50" customFormat="1" ht="18.5" x14ac:dyDescent="0.35">
      <c r="A1" s="87" t="s">
        <v>130</v>
      </c>
      <c r="B1" s="80" t="s">
        <v>243</v>
      </c>
      <c r="C1" s="80" t="s">
        <v>359</v>
      </c>
      <c r="D1" s="80" t="s">
        <v>245</v>
      </c>
      <c r="E1" s="83"/>
    </row>
    <row r="2" spans="1:5" s="50" customFormat="1" x14ac:dyDescent="0.35">
      <c r="E2" s="83"/>
    </row>
    <row r="3" spans="1:5" s="107" customFormat="1" ht="18.5" x14ac:dyDescent="0.45">
      <c r="A3" s="104" t="s">
        <v>130</v>
      </c>
      <c r="B3" s="105" t="s">
        <v>366</v>
      </c>
      <c r="C3" s="106"/>
    </row>
    <row r="4" spans="1:5" s="50" customFormat="1" x14ac:dyDescent="0.35">
      <c r="A4" s="87"/>
      <c r="B4" s="50" t="s">
        <v>360</v>
      </c>
    </row>
    <row r="5" spans="1:5" s="50" customFormat="1" x14ac:dyDescent="0.35">
      <c r="A5" s="87"/>
      <c r="B5" s="50" t="s">
        <v>361</v>
      </c>
    </row>
    <row r="6" spans="1:5" s="50" customFormat="1" x14ac:dyDescent="0.35">
      <c r="A6" s="87"/>
      <c r="B6" s="50" t="s">
        <v>362</v>
      </c>
    </row>
    <row r="7" spans="1:5" s="50" customFormat="1" x14ac:dyDescent="0.35">
      <c r="A7" s="87"/>
      <c r="B7" s="50" t="s">
        <v>363</v>
      </c>
    </row>
    <row r="8" spans="1:5" s="50" customFormat="1" x14ac:dyDescent="0.35">
      <c r="A8" s="87"/>
    </row>
    <row r="9" spans="1:5" s="50" customFormat="1" x14ac:dyDescent="0.35">
      <c r="A9" s="87"/>
      <c r="B9" s="50" t="s">
        <v>364</v>
      </c>
    </row>
    <row r="10" spans="1:5" s="50" customFormat="1" x14ac:dyDescent="0.35">
      <c r="A10" s="87"/>
      <c r="B10" s="50" t="s">
        <v>365</v>
      </c>
    </row>
    <row r="11" spans="1:5" s="50" customFormat="1" x14ac:dyDescent="0.35">
      <c r="A11" s="87"/>
      <c r="B11" s="50" t="s">
        <v>369</v>
      </c>
    </row>
    <row r="12" spans="1:5" s="50" customFormat="1" x14ac:dyDescent="0.35">
      <c r="A12" s="87"/>
    </row>
    <row r="13" spans="1:5" s="106" customFormat="1" x14ac:dyDescent="0.35">
      <c r="A13" s="104" t="s">
        <v>130</v>
      </c>
      <c r="B13" s="204" t="s">
        <v>357</v>
      </c>
    </row>
    <row r="14" spans="1:5" x14ac:dyDescent="0.35">
      <c r="B14" s="1"/>
    </row>
    <row r="15" spans="1:5" x14ac:dyDescent="0.35">
      <c r="A15" s="111" t="s">
        <v>130</v>
      </c>
      <c r="B15" s="123" t="s">
        <v>11</v>
      </c>
      <c r="C15" s="205" t="s">
        <v>12</v>
      </c>
    </row>
    <row r="16" spans="1:5" x14ac:dyDescent="0.35">
      <c r="B16" s="177" t="s">
        <v>358</v>
      </c>
      <c r="C16" s="206">
        <f>'2021 CSD'!A2</f>
        <v>12</v>
      </c>
    </row>
    <row r="17" spans="1:8" x14ac:dyDescent="0.35">
      <c r="B17" s="4"/>
      <c r="C17" s="4"/>
    </row>
    <row r="18" spans="1:8" s="96" customFormat="1" ht="18.5" x14ac:dyDescent="0.45">
      <c r="A18" s="203" t="s">
        <v>130</v>
      </c>
      <c r="B18" s="96" t="s">
        <v>492</v>
      </c>
      <c r="H18" s="96" t="s">
        <v>489</v>
      </c>
    </row>
    <row r="19" spans="1:8" ht="29" x14ac:dyDescent="0.35">
      <c r="A19" s="110" t="s">
        <v>130</v>
      </c>
      <c r="B19" s="149" t="s">
        <v>368</v>
      </c>
      <c r="C19" s="150" t="s">
        <v>10</v>
      </c>
      <c r="D19" s="151" t="s">
        <v>9</v>
      </c>
      <c r="E19" s="151" t="s">
        <v>146</v>
      </c>
      <c r="F19" s="152" t="s">
        <v>1</v>
      </c>
      <c r="G19" s="169"/>
      <c r="H19" s="161" t="s">
        <v>145</v>
      </c>
    </row>
    <row r="20" spans="1:8" x14ac:dyDescent="0.35">
      <c r="B20" s="153">
        <v>2</v>
      </c>
      <c r="D20" s="21" t="s">
        <v>157</v>
      </c>
      <c r="E20" s="154">
        <v>1</v>
      </c>
      <c r="F20" s="155">
        <v>1</v>
      </c>
      <c r="G20" s="155"/>
      <c r="H20" s="162" t="str">
        <f>IF(D20=C20,"YAY!","Not yet...")</f>
        <v>Not yet...</v>
      </c>
    </row>
    <row r="21" spans="1:8" x14ac:dyDescent="0.35">
      <c r="B21" s="153">
        <v>3</v>
      </c>
      <c r="D21" s="21" t="s">
        <v>158</v>
      </c>
      <c r="E21" s="154">
        <v>1</v>
      </c>
      <c r="F21" s="155">
        <v>4</v>
      </c>
      <c r="G21" s="155"/>
      <c r="H21" s="162" t="str">
        <f t="shared" ref="H21:H32" si="0">IF(D21=C21,"YAY!","Not yet...")</f>
        <v>Not yet...</v>
      </c>
    </row>
    <row r="22" spans="1:8" x14ac:dyDescent="0.35">
      <c r="B22" s="153">
        <v>4</v>
      </c>
      <c r="D22" s="21" t="s">
        <v>823</v>
      </c>
      <c r="E22" s="154">
        <v>1</v>
      </c>
      <c r="F22" s="155">
        <v>6</v>
      </c>
      <c r="G22" s="155"/>
      <c r="H22" s="162" t="str">
        <f t="shared" si="0"/>
        <v>Not yet...</v>
      </c>
    </row>
    <row r="23" spans="1:8" x14ac:dyDescent="0.35">
      <c r="B23" s="153">
        <v>5</v>
      </c>
      <c r="D23" s="21" t="s">
        <v>159</v>
      </c>
      <c r="E23" s="154">
        <v>1</v>
      </c>
      <c r="F23" s="155">
        <v>8</v>
      </c>
      <c r="G23" s="155"/>
      <c r="H23" s="162" t="str">
        <f t="shared" si="0"/>
        <v>Not yet...</v>
      </c>
    </row>
    <row r="24" spans="1:8" x14ac:dyDescent="0.35">
      <c r="B24" s="153">
        <v>6</v>
      </c>
      <c r="D24" s="21" t="s">
        <v>824</v>
      </c>
      <c r="E24" s="154">
        <v>1</v>
      </c>
      <c r="F24" s="155">
        <v>9</v>
      </c>
      <c r="G24" s="155"/>
      <c r="H24" s="162" t="str">
        <f t="shared" si="0"/>
        <v>Not yet...</v>
      </c>
    </row>
    <row r="25" spans="1:8" x14ac:dyDescent="0.35">
      <c r="B25" s="153">
        <v>7</v>
      </c>
      <c r="D25" s="21" t="s">
        <v>160</v>
      </c>
      <c r="E25" s="154">
        <v>2</v>
      </c>
      <c r="F25" s="155">
        <v>1</v>
      </c>
      <c r="G25" s="155"/>
      <c r="H25" s="162" t="str">
        <f t="shared" si="0"/>
        <v>Not yet...</v>
      </c>
    </row>
    <row r="26" spans="1:8" x14ac:dyDescent="0.35">
      <c r="B26" s="153">
        <v>8</v>
      </c>
      <c r="D26" s="21" t="s">
        <v>161</v>
      </c>
      <c r="E26" s="154">
        <v>2</v>
      </c>
      <c r="F26" s="155">
        <v>4</v>
      </c>
      <c r="G26" s="155"/>
      <c r="H26" s="162" t="str">
        <f t="shared" si="0"/>
        <v>Not yet...</v>
      </c>
    </row>
    <row r="27" spans="1:8" x14ac:dyDescent="0.35">
      <c r="B27" s="153">
        <v>9</v>
      </c>
      <c r="D27" s="21" t="s">
        <v>162</v>
      </c>
      <c r="E27" s="154">
        <v>2</v>
      </c>
      <c r="F27" s="155">
        <v>6</v>
      </c>
      <c r="G27" s="155"/>
      <c r="H27" s="162" t="str">
        <f t="shared" si="0"/>
        <v>Not yet...</v>
      </c>
    </row>
    <row r="28" spans="1:8" x14ac:dyDescent="0.35">
      <c r="B28" s="153">
        <v>10</v>
      </c>
      <c r="D28" s="21" t="s">
        <v>163</v>
      </c>
      <c r="E28" s="154">
        <v>2</v>
      </c>
      <c r="F28" s="155">
        <v>40</v>
      </c>
      <c r="G28" s="155"/>
      <c r="H28" s="162" t="str">
        <f t="shared" si="0"/>
        <v>Not yet...</v>
      </c>
    </row>
    <row r="29" spans="1:8" x14ac:dyDescent="0.35">
      <c r="B29" s="153">
        <v>11</v>
      </c>
      <c r="D29" s="21" t="s">
        <v>164</v>
      </c>
      <c r="E29" s="154">
        <v>3</v>
      </c>
      <c r="F29" s="155">
        <v>1</v>
      </c>
      <c r="G29" s="155"/>
      <c r="H29" s="162" t="str">
        <f t="shared" si="0"/>
        <v>Not yet...</v>
      </c>
    </row>
    <row r="30" spans="1:8" x14ac:dyDescent="0.35">
      <c r="B30" s="153">
        <v>12</v>
      </c>
      <c r="D30" s="21" t="s">
        <v>165</v>
      </c>
      <c r="E30" s="154">
        <v>3</v>
      </c>
      <c r="F30" s="155">
        <v>4</v>
      </c>
      <c r="G30" s="155"/>
      <c r="H30" s="162" t="str">
        <f t="shared" si="0"/>
        <v>Not yet...</v>
      </c>
    </row>
    <row r="31" spans="1:8" x14ac:dyDescent="0.35">
      <c r="B31" s="153">
        <v>13</v>
      </c>
      <c r="D31" s="21" t="s">
        <v>166</v>
      </c>
      <c r="E31" s="154">
        <v>3</v>
      </c>
      <c r="F31" s="155">
        <v>6</v>
      </c>
      <c r="G31" s="155"/>
      <c r="H31" s="162" t="str">
        <f t="shared" si="0"/>
        <v>Not yet...</v>
      </c>
    </row>
    <row r="32" spans="1:8" x14ac:dyDescent="0.35">
      <c r="B32" s="156">
        <v>14</v>
      </c>
      <c r="C32" s="158"/>
      <c r="D32" s="158" t="s">
        <v>167</v>
      </c>
      <c r="E32" s="159">
        <v>3</v>
      </c>
      <c r="F32" s="160">
        <v>9</v>
      </c>
      <c r="G32" s="155"/>
      <c r="H32" s="163" t="str">
        <f t="shared" si="0"/>
        <v>Not yet...</v>
      </c>
    </row>
  </sheetData>
  <phoneticPr fontId="32" type="noConversion"/>
  <conditionalFormatting sqref="H20:H32">
    <cfRule type="containsText" dxfId="6" priority="1" operator="containsText" text="yay">
      <formula>NOT(ISERROR(SEARCH("yay",H20)))</formula>
    </cfRule>
  </conditionalFormatting>
  <hyperlinks>
    <hyperlink ref="B1" location="Menu!A1" display="Main Menu" xr:uid="{C9F60233-6D98-4D7B-939D-DE4B19D8E926}"/>
    <hyperlink ref="C1" location="'C1 Instructions'!A1" display="Instructions" xr:uid="{480D87F8-D772-4255-8DBD-78FFA25D1F10}"/>
    <hyperlink ref="D1" location="'2021 CSD'!A1" display="       Data worksheet       " xr:uid="{C9C52B41-C16C-45FA-875A-BC49DD853EF5}"/>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FFFF00"/>
  </sheetPr>
  <dimension ref="A1:F72"/>
  <sheetViews>
    <sheetView workbookViewId="0"/>
  </sheetViews>
  <sheetFormatPr defaultColWidth="11.453125" defaultRowHeight="14.5" x14ac:dyDescent="0.35"/>
  <cols>
    <col min="1" max="1" width="6.54296875" style="50" customWidth="1"/>
    <col min="2" max="2" width="23.453125" style="83" customWidth="1"/>
    <col min="3" max="5" width="23.453125" style="50" customWidth="1"/>
    <col min="6" max="16384" width="11.453125" style="50"/>
  </cols>
  <sheetData>
    <row r="1" spans="1:4" ht="18.5" x14ac:dyDescent="0.35">
      <c r="A1" s="87" t="s">
        <v>130</v>
      </c>
      <c r="B1" s="80" t="s">
        <v>243</v>
      </c>
      <c r="C1" s="80" t="s">
        <v>244</v>
      </c>
      <c r="D1" s="113" t="s">
        <v>245</v>
      </c>
    </row>
    <row r="2" spans="1:4" ht="15" thickBot="1" x14ac:dyDescent="0.4"/>
    <row r="3" spans="1:4" ht="18.5" x14ac:dyDescent="0.45">
      <c r="B3" s="114"/>
      <c r="C3" s="77" t="s">
        <v>1250</v>
      </c>
      <c r="D3" s="57"/>
    </row>
    <row r="4" spans="1:4" x14ac:dyDescent="0.35">
      <c r="B4" s="116"/>
      <c r="C4" s="54"/>
      <c r="D4" s="60"/>
    </row>
    <row r="5" spans="1:4" ht="15.5" x14ac:dyDescent="0.35">
      <c r="A5" s="116"/>
      <c r="B5" s="115"/>
      <c r="C5" s="85" t="s">
        <v>234</v>
      </c>
      <c r="D5" s="60"/>
    </row>
    <row r="6" spans="1:4" x14ac:dyDescent="0.35">
      <c r="B6" s="116"/>
      <c r="C6" s="78" t="s">
        <v>370</v>
      </c>
      <c r="D6" s="60"/>
    </row>
    <row r="7" spans="1:4" x14ac:dyDescent="0.35">
      <c r="B7" s="115"/>
      <c r="C7" s="78" t="s">
        <v>371</v>
      </c>
      <c r="D7" s="60"/>
    </row>
    <row r="8" spans="1:4" x14ac:dyDescent="0.35">
      <c r="B8" s="115"/>
      <c r="C8" s="78"/>
      <c r="D8" s="60"/>
    </row>
    <row r="9" spans="1:4" x14ac:dyDescent="0.35">
      <c r="B9" s="115"/>
      <c r="C9" s="54" t="s">
        <v>372</v>
      </c>
      <c r="D9" s="60"/>
    </row>
    <row r="10" spans="1:4" x14ac:dyDescent="0.35">
      <c r="B10" s="115"/>
      <c r="C10" s="78" t="s">
        <v>236</v>
      </c>
      <c r="D10" s="60"/>
    </row>
    <row r="11" spans="1:4" x14ac:dyDescent="0.35">
      <c r="B11" s="115"/>
      <c r="C11" s="78"/>
      <c r="D11" s="60"/>
    </row>
    <row r="12" spans="1:4" x14ac:dyDescent="0.35">
      <c r="B12" s="115"/>
      <c r="C12" s="54" t="s">
        <v>373</v>
      </c>
      <c r="D12" s="60"/>
    </row>
    <row r="13" spans="1:4" x14ac:dyDescent="0.35">
      <c r="B13" s="115"/>
      <c r="C13" s="78" t="s">
        <v>414</v>
      </c>
      <c r="D13" s="60"/>
    </row>
    <row r="14" spans="1:4" x14ac:dyDescent="0.35">
      <c r="B14" s="115"/>
      <c r="C14" s="78" t="s">
        <v>367</v>
      </c>
      <c r="D14" s="60"/>
    </row>
    <row r="15" spans="1:4" ht="15" thickBot="1" x14ac:dyDescent="0.4">
      <c r="B15" s="86"/>
      <c r="C15" s="79"/>
      <c r="D15" s="65"/>
    </row>
    <row r="17" spans="1:6" s="101" customFormat="1" ht="18.5" x14ac:dyDescent="0.45">
      <c r="A17" s="98" t="s">
        <v>130</v>
      </c>
      <c r="B17" s="99" t="s">
        <v>238</v>
      </c>
      <c r="C17" s="100"/>
    </row>
    <row r="18" spans="1:6" x14ac:dyDescent="0.35">
      <c r="A18" s="87"/>
      <c r="B18" s="50" t="s">
        <v>374</v>
      </c>
    </row>
    <row r="19" spans="1:6" x14ac:dyDescent="0.35">
      <c r="A19" s="87"/>
      <c r="B19" s="50" t="s">
        <v>375</v>
      </c>
    </row>
    <row r="20" spans="1:6" x14ac:dyDescent="0.35">
      <c r="A20" s="87"/>
      <c r="B20" s="50" t="s">
        <v>376</v>
      </c>
    </row>
    <row r="21" spans="1:6" x14ac:dyDescent="0.35">
      <c r="A21" s="87"/>
      <c r="B21" s="50" t="s">
        <v>377</v>
      </c>
    </row>
    <row r="22" spans="1:6" x14ac:dyDescent="0.35">
      <c r="A22" s="87"/>
      <c r="B22" s="50"/>
    </row>
    <row r="23" spans="1:6" s="94" customFormat="1" ht="29" x14ac:dyDescent="0.35">
      <c r="A23" s="93" t="s">
        <v>130</v>
      </c>
      <c r="B23" s="214" t="s">
        <v>16</v>
      </c>
      <c r="C23" s="215" t="s">
        <v>13</v>
      </c>
      <c r="D23" s="215" t="s">
        <v>17</v>
      </c>
    </row>
    <row r="24" spans="1:6" customFormat="1" x14ac:dyDescent="0.35">
      <c r="B24" s="216"/>
      <c r="C24" s="217" t="s">
        <v>522</v>
      </c>
      <c r="D24" s="218" t="s">
        <v>825</v>
      </c>
    </row>
    <row r="25" spans="1:6" customFormat="1" x14ac:dyDescent="0.35">
      <c r="B25" s="219" t="s">
        <v>159</v>
      </c>
      <c r="C25" s="220" t="str">
        <f t="shared" ref="C25:C32" si="0">LEFT(B25,2)</f>
        <v>NS</v>
      </c>
      <c r="D25" s="221" t="str">
        <f>RIGHT(B25,1)</f>
        <v>8</v>
      </c>
      <c r="F25" s="1"/>
    </row>
    <row r="26" spans="1:6" customFormat="1" x14ac:dyDescent="0.35">
      <c r="B26" s="219" t="s">
        <v>161</v>
      </c>
      <c r="C26" s="220" t="str">
        <f t="shared" si="0"/>
        <v>NS</v>
      </c>
      <c r="D26" s="221" t="str">
        <f t="shared" ref="D26:D32" si="1">RIGHT(B26,1)</f>
        <v>4</v>
      </c>
    </row>
    <row r="27" spans="1:6" customFormat="1" x14ac:dyDescent="0.35">
      <c r="B27" s="219" t="s">
        <v>163</v>
      </c>
      <c r="C27" s="220" t="str">
        <f t="shared" si="0"/>
        <v>NS</v>
      </c>
      <c r="D27" s="221" t="str">
        <f t="shared" si="1"/>
        <v>0</v>
      </c>
    </row>
    <row r="28" spans="1:6" customFormat="1" x14ac:dyDescent="0.35">
      <c r="B28" s="219" t="s">
        <v>164</v>
      </c>
      <c r="C28" s="220" t="str">
        <f t="shared" si="0"/>
        <v>NS</v>
      </c>
      <c r="D28" s="221" t="str">
        <f t="shared" si="1"/>
        <v>1</v>
      </c>
    </row>
    <row r="29" spans="1:6" customFormat="1" x14ac:dyDescent="0.35">
      <c r="B29" s="219" t="s">
        <v>167</v>
      </c>
      <c r="C29" s="220" t="str">
        <f t="shared" si="0"/>
        <v>NS</v>
      </c>
      <c r="D29" s="221" t="str">
        <f t="shared" si="1"/>
        <v>9</v>
      </c>
    </row>
    <row r="30" spans="1:6" customFormat="1" x14ac:dyDescent="0.35">
      <c r="B30" s="219" t="s">
        <v>168</v>
      </c>
      <c r="C30" s="220" t="str">
        <f t="shared" si="0"/>
        <v>NS</v>
      </c>
      <c r="D30" s="221" t="str">
        <f t="shared" si="1"/>
        <v>0</v>
      </c>
    </row>
    <row r="31" spans="1:6" customFormat="1" x14ac:dyDescent="0.35">
      <c r="B31" s="219" t="s">
        <v>14</v>
      </c>
      <c r="C31" s="220" t="str">
        <f t="shared" si="0"/>
        <v>QC</v>
      </c>
      <c r="D31" s="221" t="str">
        <f t="shared" si="1"/>
        <v>3</v>
      </c>
    </row>
    <row r="32" spans="1:6" customFormat="1" x14ac:dyDescent="0.35">
      <c r="B32" s="222" t="s">
        <v>15</v>
      </c>
      <c r="C32" s="223" t="str">
        <f t="shared" si="0"/>
        <v>ON</v>
      </c>
      <c r="D32" s="224" t="str">
        <f t="shared" si="1"/>
        <v>6</v>
      </c>
    </row>
    <row r="33" spans="1:5" customFormat="1" x14ac:dyDescent="0.35">
      <c r="B33" s="2"/>
    </row>
    <row r="34" spans="1:5" s="94" customFormat="1" ht="43.5" x14ac:dyDescent="0.35">
      <c r="A34" s="93" t="s">
        <v>130</v>
      </c>
      <c r="B34" s="225" t="s">
        <v>16</v>
      </c>
      <c r="C34" s="226" t="s">
        <v>18</v>
      </c>
      <c r="D34" s="226" t="s">
        <v>19</v>
      </c>
    </row>
    <row r="35" spans="1:5" customFormat="1" x14ac:dyDescent="0.35">
      <c r="B35" s="227"/>
      <c r="C35" s="228" t="s">
        <v>523</v>
      </c>
      <c r="D35" s="229" t="s">
        <v>524</v>
      </c>
      <c r="E35" t="s">
        <v>525</v>
      </c>
    </row>
    <row r="36" spans="1:5" customFormat="1" x14ac:dyDescent="0.35">
      <c r="B36" s="219" t="s">
        <v>159</v>
      </c>
      <c r="C36" s="220" t="str">
        <f>MID(B36,4,3)</f>
        <v>1-8</v>
      </c>
      <c r="D36" s="221">
        <f>FIND("-",B36)</f>
        <v>5</v>
      </c>
    </row>
    <row r="37" spans="1:5" customFormat="1" x14ac:dyDescent="0.35">
      <c r="B37" s="219" t="s">
        <v>161</v>
      </c>
      <c r="C37" s="220" t="str">
        <f t="shared" ref="C37:C43" si="2">MID(B37,4,3)</f>
        <v>2-4</v>
      </c>
      <c r="D37" s="221">
        <f t="shared" ref="D37:D43" si="3">FIND("-",B37)</f>
        <v>5</v>
      </c>
    </row>
    <row r="38" spans="1:5" customFormat="1" x14ac:dyDescent="0.35">
      <c r="B38" s="219" t="s">
        <v>163</v>
      </c>
      <c r="C38" s="220" t="str">
        <f t="shared" si="2"/>
        <v>2-4</v>
      </c>
      <c r="D38" s="221">
        <f t="shared" si="3"/>
        <v>5</v>
      </c>
    </row>
    <row r="39" spans="1:5" customFormat="1" x14ac:dyDescent="0.35">
      <c r="B39" s="219" t="s">
        <v>164</v>
      </c>
      <c r="C39" s="220" t="str">
        <f t="shared" si="2"/>
        <v>3-1</v>
      </c>
      <c r="D39" s="221">
        <f t="shared" si="3"/>
        <v>5</v>
      </c>
    </row>
    <row r="40" spans="1:5" customFormat="1" x14ac:dyDescent="0.35">
      <c r="B40" s="219" t="s">
        <v>167</v>
      </c>
      <c r="C40" s="220" t="str">
        <f t="shared" si="2"/>
        <v>3-9</v>
      </c>
      <c r="D40" s="221">
        <f t="shared" si="3"/>
        <v>5</v>
      </c>
    </row>
    <row r="41" spans="1:5" customFormat="1" x14ac:dyDescent="0.35">
      <c r="B41" s="219" t="s">
        <v>168</v>
      </c>
      <c r="C41" s="220" t="str">
        <f t="shared" si="2"/>
        <v>4-1</v>
      </c>
      <c r="D41" s="221">
        <f t="shared" si="3"/>
        <v>5</v>
      </c>
    </row>
    <row r="42" spans="1:5" customFormat="1" x14ac:dyDescent="0.35">
      <c r="B42" s="219" t="s">
        <v>14</v>
      </c>
      <c r="C42" s="220" t="str">
        <f t="shared" si="2"/>
        <v>26-</v>
      </c>
      <c r="D42" s="221">
        <f t="shared" si="3"/>
        <v>6</v>
      </c>
    </row>
    <row r="43" spans="1:5" customFormat="1" x14ac:dyDescent="0.35">
      <c r="B43" s="222" t="s">
        <v>15</v>
      </c>
      <c r="C43" s="223" t="str">
        <f t="shared" si="2"/>
        <v>8-4</v>
      </c>
      <c r="D43" s="224">
        <f t="shared" si="3"/>
        <v>5</v>
      </c>
    </row>
    <row r="44" spans="1:5" customFormat="1" x14ac:dyDescent="0.35">
      <c r="B44" s="2"/>
    </row>
    <row r="45" spans="1:5" s="94" customFormat="1" ht="43.5" x14ac:dyDescent="0.35">
      <c r="A45" s="93" t="s">
        <v>130</v>
      </c>
      <c r="B45" s="225" t="s">
        <v>16</v>
      </c>
      <c r="C45" s="226" t="s">
        <v>20</v>
      </c>
      <c r="D45" s="226" t="s">
        <v>21</v>
      </c>
    </row>
    <row r="46" spans="1:5" customFormat="1" ht="29" x14ac:dyDescent="0.35">
      <c r="B46" s="227"/>
      <c r="C46" s="217" t="s">
        <v>526</v>
      </c>
      <c r="D46" s="218" t="s">
        <v>527</v>
      </c>
      <c r="E46" t="s">
        <v>169</v>
      </c>
    </row>
    <row r="47" spans="1:5" customFormat="1" x14ac:dyDescent="0.35">
      <c r="B47" s="219" t="s">
        <v>159</v>
      </c>
      <c r="C47" s="220" t="str">
        <f t="shared" ref="C47:C54" si="4">MID(B47,4,(FIND("-",B47)-4))</f>
        <v>1</v>
      </c>
      <c r="D47" s="221" t="str">
        <f t="shared" ref="D47:D54" si="5">RIGHT(B47,(LEN(B47)-FIND("-",B47)))</f>
        <v>8</v>
      </c>
      <c r="E47" t="s">
        <v>22</v>
      </c>
    </row>
    <row r="48" spans="1:5" customFormat="1" x14ac:dyDescent="0.35">
      <c r="B48" s="219" t="s">
        <v>161</v>
      </c>
      <c r="C48" s="220" t="str">
        <f t="shared" si="4"/>
        <v>2</v>
      </c>
      <c r="D48" s="221" t="str">
        <f t="shared" si="5"/>
        <v>4</v>
      </c>
      <c r="E48" s="50"/>
    </row>
    <row r="49" spans="1:6" customFormat="1" x14ac:dyDescent="0.35">
      <c r="B49" s="219" t="s">
        <v>163</v>
      </c>
      <c r="C49" s="220" t="str">
        <f t="shared" si="4"/>
        <v>2</v>
      </c>
      <c r="D49" s="221" t="str">
        <f t="shared" si="5"/>
        <v>40</v>
      </c>
    </row>
    <row r="50" spans="1:6" customFormat="1" x14ac:dyDescent="0.35">
      <c r="B50" s="219" t="s">
        <v>164</v>
      </c>
      <c r="C50" s="220" t="str">
        <f t="shared" si="4"/>
        <v>3</v>
      </c>
      <c r="D50" s="221" t="str">
        <f t="shared" si="5"/>
        <v>1</v>
      </c>
    </row>
    <row r="51" spans="1:6" customFormat="1" x14ac:dyDescent="0.35">
      <c r="B51" s="219" t="s">
        <v>167</v>
      </c>
      <c r="C51" s="220" t="str">
        <f t="shared" si="4"/>
        <v>3</v>
      </c>
      <c r="D51" s="221" t="str">
        <f t="shared" si="5"/>
        <v>9</v>
      </c>
    </row>
    <row r="52" spans="1:6" customFormat="1" x14ac:dyDescent="0.35">
      <c r="B52" s="219" t="s">
        <v>168</v>
      </c>
      <c r="C52" s="220" t="str">
        <f t="shared" si="4"/>
        <v>4</v>
      </c>
      <c r="D52" s="221" t="str">
        <f t="shared" si="5"/>
        <v>10</v>
      </c>
    </row>
    <row r="53" spans="1:6" customFormat="1" x14ac:dyDescent="0.35">
      <c r="B53" s="219" t="s">
        <v>14</v>
      </c>
      <c r="C53" s="220" t="str">
        <f t="shared" si="4"/>
        <v>26</v>
      </c>
      <c r="D53" s="221" t="str">
        <f t="shared" si="5"/>
        <v>3</v>
      </c>
    </row>
    <row r="54" spans="1:6" customFormat="1" x14ac:dyDescent="0.35">
      <c r="B54" s="222" t="s">
        <v>15</v>
      </c>
      <c r="C54" s="223" t="str">
        <f t="shared" si="4"/>
        <v>8</v>
      </c>
      <c r="D54" s="224" t="str">
        <f t="shared" si="5"/>
        <v>446</v>
      </c>
    </row>
    <row r="55" spans="1:6" customFormat="1" x14ac:dyDescent="0.35">
      <c r="B55" s="2"/>
    </row>
    <row r="56" spans="1:6" s="101" customFormat="1" ht="18.5" x14ac:dyDescent="0.45">
      <c r="A56" s="98" t="s">
        <v>130</v>
      </c>
      <c r="B56" s="99" t="s">
        <v>256</v>
      </c>
      <c r="C56" s="100"/>
    </row>
    <row r="58" spans="1:6" s="94" customFormat="1" ht="18.5" x14ac:dyDescent="0.35">
      <c r="A58" s="93" t="s">
        <v>130</v>
      </c>
      <c r="B58" s="94" t="s">
        <v>378</v>
      </c>
    </row>
    <row r="59" spans="1:6" customFormat="1" x14ac:dyDescent="0.35">
      <c r="B59" s="4" t="s">
        <v>528</v>
      </c>
    </row>
    <row r="60" spans="1:6" s="207" customFormat="1" ht="159.5" x14ac:dyDescent="0.35">
      <c r="B60" s="5" t="s">
        <v>530</v>
      </c>
      <c r="C60" s="5" t="s">
        <v>531</v>
      </c>
      <c r="D60" s="5" t="s">
        <v>529</v>
      </c>
      <c r="E60" s="5" t="s">
        <v>177</v>
      </c>
    </row>
    <row r="61" spans="1:6" customFormat="1" x14ac:dyDescent="0.35">
      <c r="B61" s="2"/>
    </row>
    <row r="62" spans="1:6" s="94" customFormat="1" ht="18.5" x14ac:dyDescent="0.35">
      <c r="A62" s="93" t="s">
        <v>130</v>
      </c>
      <c r="B62" s="94" t="s">
        <v>379</v>
      </c>
    </row>
    <row r="63" spans="1:6" x14ac:dyDescent="0.35">
      <c r="A63" s="87"/>
      <c r="B63" s="199" t="s">
        <v>257</v>
      </c>
      <c r="C63" s="200"/>
      <c r="E63" s="51"/>
      <c r="F63" s="51"/>
    </row>
    <row r="64" spans="1:6" x14ac:dyDescent="0.35">
      <c r="A64" s="87"/>
    </row>
    <row r="65" spans="1:6" x14ac:dyDescent="0.35">
      <c r="A65" s="103"/>
      <c r="B65" s="83" t="s">
        <v>381</v>
      </c>
    </row>
    <row r="66" spans="1:6" x14ac:dyDescent="0.35">
      <c r="A66" s="87"/>
      <c r="B66" s="83" t="s">
        <v>387</v>
      </c>
    </row>
    <row r="68" spans="1:6" s="94" customFormat="1" ht="18.5" x14ac:dyDescent="0.35">
      <c r="A68" s="93" t="s">
        <v>130</v>
      </c>
      <c r="B68" s="94" t="s">
        <v>388</v>
      </c>
    </row>
    <row r="69" spans="1:6" x14ac:dyDescent="0.35">
      <c r="A69" s="87"/>
      <c r="B69" s="199" t="s">
        <v>389</v>
      </c>
      <c r="C69" s="200"/>
      <c r="E69" s="51"/>
      <c r="F69" s="51"/>
    </row>
    <row r="70" spans="1:6" x14ac:dyDescent="0.35">
      <c r="A70" s="87"/>
    </row>
    <row r="71" spans="1:6" x14ac:dyDescent="0.35">
      <c r="A71" s="103"/>
      <c r="B71" s="83" t="s">
        <v>390</v>
      </c>
    </row>
    <row r="72" spans="1:6" x14ac:dyDescent="0.35">
      <c r="A72" s="87"/>
      <c r="B72" s="83" t="s">
        <v>391</v>
      </c>
    </row>
  </sheetData>
  <hyperlinks>
    <hyperlink ref="B1" location="Menu!A1" display="Main Menu" xr:uid="{44145D32-F97D-4C8A-84C0-43EECA9F15E3}"/>
    <hyperlink ref="C1" location="'C2 Exercise'!A1" display="              Exercise              " xr:uid="{2484D0BC-474C-4607-BC31-6C116B96DE27}"/>
    <hyperlink ref="D1" location="'2021 CSD'!A1" display="       Data worksheet       " xr:uid="{A09F753B-1022-47F6-82ED-9EA15D0EFCB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002060"/>
  </sheetPr>
  <dimension ref="A1:F21"/>
  <sheetViews>
    <sheetView workbookViewId="0"/>
  </sheetViews>
  <sheetFormatPr defaultColWidth="11.453125" defaultRowHeight="14.5" x14ac:dyDescent="0.35"/>
  <cols>
    <col min="1" max="1" width="5.6328125" customWidth="1"/>
    <col min="2" max="4" width="23.453125" customWidth="1"/>
    <col min="5" max="5" width="9.08984375" customWidth="1"/>
    <col min="6" max="6" width="62.54296875" bestFit="1" customWidth="1"/>
  </cols>
  <sheetData>
    <row r="1" spans="1:6" ht="18.5" x14ac:dyDescent="0.35">
      <c r="A1" s="87" t="s">
        <v>130</v>
      </c>
      <c r="B1" s="80" t="s">
        <v>243</v>
      </c>
      <c r="C1" s="80" t="s">
        <v>359</v>
      </c>
      <c r="D1" s="80" t="s">
        <v>245</v>
      </c>
    </row>
    <row r="2" spans="1:6" s="50" customFormat="1" x14ac:dyDescent="0.35">
      <c r="E2" s="83"/>
    </row>
    <row r="3" spans="1:6" s="107" customFormat="1" ht="18.5" x14ac:dyDescent="0.45">
      <c r="A3" s="104" t="s">
        <v>130</v>
      </c>
      <c r="B3" s="105" t="s">
        <v>382</v>
      </c>
      <c r="C3" s="106"/>
    </row>
    <row r="4" spans="1:6" s="50" customFormat="1" x14ac:dyDescent="0.35">
      <c r="B4" s="50" t="s">
        <v>383</v>
      </c>
      <c r="E4" s="83"/>
    </row>
    <row r="5" spans="1:6" s="50" customFormat="1" x14ac:dyDescent="0.35">
      <c r="B5" s="50" t="s">
        <v>384</v>
      </c>
      <c r="E5" s="83"/>
    </row>
    <row r="6" spans="1:6" s="50" customFormat="1" x14ac:dyDescent="0.35">
      <c r="B6" s="50" t="s">
        <v>385</v>
      </c>
      <c r="E6" s="83"/>
    </row>
    <row r="7" spans="1:6" s="50" customFormat="1" x14ac:dyDescent="0.35">
      <c r="B7" s="50" t="s">
        <v>386</v>
      </c>
      <c r="E7" s="83"/>
    </row>
    <row r="8" spans="1:6" s="50" customFormat="1" x14ac:dyDescent="0.35">
      <c r="E8" s="83"/>
    </row>
    <row r="9" spans="1:6" s="96" customFormat="1" ht="18.5" x14ac:dyDescent="0.45">
      <c r="A9" s="117" t="s">
        <v>130</v>
      </c>
      <c r="B9" s="41" t="s">
        <v>490</v>
      </c>
      <c r="C9" s="41"/>
      <c r="D9" s="41"/>
      <c r="F9" s="41" t="s">
        <v>491</v>
      </c>
    </row>
    <row r="10" spans="1:6" x14ac:dyDescent="0.35">
      <c r="A10" s="1"/>
      <c r="B10" s="170" t="s">
        <v>24</v>
      </c>
      <c r="C10" s="150" t="s">
        <v>25</v>
      </c>
      <c r="D10" s="171" t="s">
        <v>26</v>
      </c>
      <c r="F10" s="176" t="s">
        <v>147</v>
      </c>
    </row>
    <row r="11" spans="1:6" x14ac:dyDescent="0.35">
      <c r="B11" s="172" t="s">
        <v>392</v>
      </c>
      <c r="D11" s="173"/>
      <c r="F11" s="164" t="s">
        <v>411</v>
      </c>
    </row>
    <row r="12" spans="1:6" x14ac:dyDescent="0.35">
      <c r="B12" s="172" t="s">
        <v>41</v>
      </c>
      <c r="D12" s="173"/>
      <c r="F12" s="164" t="s">
        <v>404</v>
      </c>
    </row>
    <row r="13" spans="1:6" x14ac:dyDescent="0.35">
      <c r="B13" s="172" t="s">
        <v>393</v>
      </c>
      <c r="D13" s="173"/>
      <c r="F13" s="164" t="s">
        <v>412</v>
      </c>
    </row>
    <row r="14" spans="1:6" x14ac:dyDescent="0.35">
      <c r="B14" s="172" t="s">
        <v>394</v>
      </c>
      <c r="D14" s="173"/>
      <c r="F14" s="164" t="s">
        <v>402</v>
      </c>
    </row>
    <row r="15" spans="1:6" x14ac:dyDescent="0.35">
      <c r="B15" s="172" t="s">
        <v>395</v>
      </c>
      <c r="D15" s="173"/>
      <c r="F15" s="164" t="s">
        <v>409</v>
      </c>
    </row>
    <row r="16" spans="1:6" x14ac:dyDescent="0.35">
      <c r="B16" s="172" t="s">
        <v>396</v>
      </c>
      <c r="D16" s="173"/>
      <c r="F16" s="164" t="s">
        <v>408</v>
      </c>
    </row>
    <row r="17" spans="2:6" x14ac:dyDescent="0.35">
      <c r="B17" s="172" t="s">
        <v>397</v>
      </c>
      <c r="D17" s="173"/>
      <c r="F17" s="164" t="s">
        <v>410</v>
      </c>
    </row>
    <row r="18" spans="2:6" x14ac:dyDescent="0.35">
      <c r="B18" s="172" t="s">
        <v>398</v>
      </c>
      <c r="D18" s="173"/>
      <c r="F18" s="164" t="s">
        <v>406</v>
      </c>
    </row>
    <row r="19" spans="2:6" x14ac:dyDescent="0.35">
      <c r="B19" s="172" t="s">
        <v>399</v>
      </c>
      <c r="D19" s="173"/>
      <c r="F19" s="164" t="s">
        <v>407</v>
      </c>
    </row>
    <row r="20" spans="2:6" x14ac:dyDescent="0.35">
      <c r="B20" s="172" t="s">
        <v>400</v>
      </c>
      <c r="D20" s="173"/>
      <c r="F20" s="164" t="s">
        <v>403</v>
      </c>
    </row>
    <row r="21" spans="2:6" x14ac:dyDescent="0.35">
      <c r="B21" s="174" t="s">
        <v>401</v>
      </c>
      <c r="C21" s="157"/>
      <c r="D21" s="175"/>
      <c r="F21" s="165" t="s">
        <v>405</v>
      </c>
    </row>
  </sheetData>
  <sortState xmlns:xlrd2="http://schemas.microsoft.com/office/spreadsheetml/2017/richdata2" ref="F11:F21">
    <sortCondition ref="F21"/>
  </sortState>
  <hyperlinks>
    <hyperlink ref="B1" location="Menu!A1" display="Main Menu" xr:uid="{3364B815-B07B-4724-88A4-F8335983D7A5}"/>
    <hyperlink ref="C1" location="'C2 Instructions'!A1" display="Instructions" xr:uid="{3A99177C-C151-479D-9B7B-57E21F8D3E53}"/>
    <hyperlink ref="D1" location="'2021 CSD'!A1" display="       Data worksheet       " xr:uid="{CC501310-4DB1-44CC-AD04-C858ED7797AF}"/>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5">
    <tabColor rgb="FFFFFF00"/>
  </sheetPr>
  <dimension ref="A1:I103"/>
  <sheetViews>
    <sheetView workbookViewId="0"/>
  </sheetViews>
  <sheetFormatPr defaultColWidth="11.453125" defaultRowHeight="14.5" x14ac:dyDescent="0.35"/>
  <cols>
    <col min="1" max="1" width="6.54296875" customWidth="1"/>
    <col min="2" max="3" width="23.453125" style="2" customWidth="1"/>
    <col min="4" max="4" width="6.453125" style="2" customWidth="1"/>
    <col min="5" max="7" width="18.6328125" style="2" customWidth="1"/>
    <col min="8" max="8" width="19.08984375" customWidth="1"/>
  </cols>
  <sheetData>
    <row r="1" spans="1:5" s="50" customFormat="1" ht="18.5" x14ac:dyDescent="0.35">
      <c r="A1" s="87" t="s">
        <v>130</v>
      </c>
      <c r="B1" s="80" t="s">
        <v>243</v>
      </c>
      <c r="C1" s="80" t="s">
        <v>244</v>
      </c>
      <c r="D1" s="50" t="s">
        <v>582</v>
      </c>
      <c r="E1" s="50" t="s">
        <v>581</v>
      </c>
    </row>
    <row r="2" spans="1:5" s="50" customFormat="1" ht="15" thickBot="1" x14ac:dyDescent="0.4">
      <c r="B2" s="83"/>
    </row>
    <row r="3" spans="1:5" s="50" customFormat="1" ht="18.75" customHeight="1" x14ac:dyDescent="0.45">
      <c r="B3" s="114"/>
      <c r="C3" s="77" t="s">
        <v>1253</v>
      </c>
      <c r="D3" s="77"/>
      <c r="E3" s="57"/>
    </row>
    <row r="4" spans="1:5" s="50" customFormat="1" ht="18.5" x14ac:dyDescent="0.45">
      <c r="B4" s="116"/>
      <c r="C4" s="49"/>
      <c r="E4" s="60"/>
    </row>
    <row r="5" spans="1:5" s="50" customFormat="1" ht="15.5" x14ac:dyDescent="0.35">
      <c r="B5" s="116"/>
      <c r="C5" s="85" t="s">
        <v>234</v>
      </c>
      <c r="E5" s="60"/>
    </row>
    <row r="6" spans="1:5" s="50" customFormat="1" x14ac:dyDescent="0.35">
      <c r="B6" s="116"/>
      <c r="C6" s="78" t="s">
        <v>564</v>
      </c>
      <c r="E6" s="60"/>
    </row>
    <row r="7" spans="1:5" s="50" customFormat="1" ht="18.5" x14ac:dyDescent="0.45">
      <c r="B7" s="116"/>
      <c r="C7" s="49"/>
      <c r="E7" s="60"/>
    </row>
    <row r="8" spans="1:5" s="50" customFormat="1" ht="15.5" x14ac:dyDescent="0.35">
      <c r="B8" s="116"/>
      <c r="C8" s="85" t="s">
        <v>372</v>
      </c>
      <c r="E8" s="60"/>
    </row>
    <row r="9" spans="1:5" s="50" customFormat="1" x14ac:dyDescent="0.35">
      <c r="B9" s="115"/>
      <c r="C9" s="78" t="s">
        <v>565</v>
      </c>
      <c r="E9" s="60"/>
    </row>
    <row r="10" spans="1:5" s="50" customFormat="1" x14ac:dyDescent="0.35">
      <c r="B10" s="115"/>
      <c r="C10" s="78" t="s">
        <v>566</v>
      </c>
      <c r="E10" s="60"/>
    </row>
    <row r="11" spans="1:5" s="50" customFormat="1" x14ac:dyDescent="0.35">
      <c r="B11" s="115"/>
      <c r="C11" s="78" t="s">
        <v>567</v>
      </c>
      <c r="E11" s="60"/>
    </row>
    <row r="12" spans="1:5" s="50" customFormat="1" x14ac:dyDescent="0.35">
      <c r="B12" s="115"/>
      <c r="C12" s="78"/>
      <c r="E12" s="60"/>
    </row>
    <row r="13" spans="1:5" s="50" customFormat="1" ht="15.5" x14ac:dyDescent="0.35">
      <c r="B13" s="115"/>
      <c r="C13" s="85" t="s">
        <v>237</v>
      </c>
      <c r="E13" s="60"/>
    </row>
    <row r="14" spans="1:5" s="50" customFormat="1" x14ac:dyDescent="0.35">
      <c r="B14" s="115"/>
      <c r="C14" s="78" t="s">
        <v>414</v>
      </c>
      <c r="E14" s="60"/>
    </row>
    <row r="15" spans="1:5" s="50" customFormat="1" x14ac:dyDescent="0.35">
      <c r="B15" s="115"/>
      <c r="C15" s="78" t="s">
        <v>416</v>
      </c>
      <c r="E15" s="60"/>
    </row>
    <row r="16" spans="1:5" s="50" customFormat="1" x14ac:dyDescent="0.35">
      <c r="B16" s="115"/>
      <c r="C16" s="78" t="s">
        <v>415</v>
      </c>
      <c r="E16" s="60"/>
    </row>
    <row r="17" spans="1:5" s="50" customFormat="1" ht="15" thickBot="1" x14ac:dyDescent="0.4">
      <c r="B17" s="86"/>
      <c r="C17" s="63"/>
      <c r="D17" s="63"/>
      <c r="E17" s="65"/>
    </row>
    <row r="18" spans="1:5" s="50" customFormat="1" x14ac:dyDescent="0.35">
      <c r="B18" s="83"/>
    </row>
    <row r="19" spans="1:5" s="101" customFormat="1" ht="18.5" x14ac:dyDescent="0.45">
      <c r="A19" s="98" t="s">
        <v>130</v>
      </c>
      <c r="B19" s="99" t="s">
        <v>238</v>
      </c>
      <c r="C19" s="100"/>
    </row>
    <row r="20" spans="1:5" s="50" customFormat="1" x14ac:dyDescent="0.35">
      <c r="A20" s="87"/>
      <c r="B20" s="50" t="s">
        <v>568</v>
      </c>
    </row>
    <row r="21" spans="1:5" s="50" customFormat="1" x14ac:dyDescent="0.35">
      <c r="A21" s="87"/>
      <c r="B21" s="50" t="s">
        <v>569</v>
      </c>
    </row>
    <row r="22" spans="1:5" s="50" customFormat="1" x14ac:dyDescent="0.35">
      <c r="A22" s="87"/>
      <c r="B22" s="50" t="s">
        <v>570</v>
      </c>
    </row>
    <row r="23" spans="1:5" s="50" customFormat="1" x14ac:dyDescent="0.35">
      <c r="A23" s="87"/>
      <c r="B23" s="50" t="s">
        <v>572</v>
      </c>
    </row>
    <row r="24" spans="1:5" s="50" customFormat="1" x14ac:dyDescent="0.35">
      <c r="A24" s="87"/>
      <c r="B24" s="50" t="s">
        <v>573</v>
      </c>
    </row>
    <row r="25" spans="1:5" s="50" customFormat="1" x14ac:dyDescent="0.35">
      <c r="A25" s="87"/>
    </row>
    <row r="26" spans="1:5" s="50" customFormat="1" x14ac:dyDescent="0.35">
      <c r="A26" s="87"/>
      <c r="B26" s="50" t="s">
        <v>571</v>
      </c>
    </row>
    <row r="27" spans="1:5" s="50" customFormat="1" x14ac:dyDescent="0.35">
      <c r="A27" s="87"/>
      <c r="B27" s="50" t="s">
        <v>574</v>
      </c>
    </row>
    <row r="28" spans="1:5" s="50" customFormat="1" x14ac:dyDescent="0.35">
      <c r="A28" s="87"/>
    </row>
    <row r="29" spans="1:5" s="50" customFormat="1" x14ac:dyDescent="0.35">
      <c r="A29" s="87"/>
      <c r="B29" s="50" t="s">
        <v>575</v>
      </c>
    </row>
    <row r="30" spans="1:5" s="50" customFormat="1" x14ac:dyDescent="0.35">
      <c r="A30" s="87"/>
      <c r="B30" s="50" t="s">
        <v>576</v>
      </c>
    </row>
    <row r="31" spans="1:5" s="50" customFormat="1" x14ac:dyDescent="0.35">
      <c r="B31" s="54"/>
      <c r="C31" s="54"/>
      <c r="D31" s="54"/>
    </row>
    <row r="32" spans="1:5" s="97" customFormat="1" ht="18.5" x14ac:dyDescent="0.45">
      <c r="A32" s="93" t="s">
        <v>130</v>
      </c>
      <c r="B32" s="95" t="s">
        <v>596</v>
      </c>
      <c r="C32" s="96"/>
      <c r="D32" s="95"/>
    </row>
    <row r="33" spans="1:9" s="50" customFormat="1" x14ac:dyDescent="0.35">
      <c r="B33" s="54"/>
      <c r="C33" s="54"/>
      <c r="D33" s="54"/>
    </row>
    <row r="34" spans="1:9" s="94" customFormat="1" ht="18.5" x14ac:dyDescent="0.35">
      <c r="A34" s="93" t="s">
        <v>130</v>
      </c>
      <c r="B34" s="201" t="s">
        <v>577</v>
      </c>
      <c r="C34" s="201"/>
      <c r="E34" s="201" t="s">
        <v>578</v>
      </c>
      <c r="F34" s="201"/>
      <c r="G34" s="213" t="s">
        <v>597</v>
      </c>
      <c r="H34" s="262" t="s">
        <v>598</v>
      </c>
    </row>
    <row r="35" spans="1:9" ht="58" x14ac:dyDescent="0.35">
      <c r="B35" s="149" t="s">
        <v>148</v>
      </c>
      <c r="C35" s="152" t="s">
        <v>149</v>
      </c>
      <c r="D35"/>
      <c r="E35" s="123" t="s">
        <v>579</v>
      </c>
      <c r="F35" s="191" t="s">
        <v>148</v>
      </c>
      <c r="G35" s="259" t="s">
        <v>580</v>
      </c>
      <c r="H35" s="218" t="s">
        <v>610</v>
      </c>
    </row>
    <row r="36" spans="1:9" x14ac:dyDescent="0.35">
      <c r="B36" s="153" t="s">
        <v>52</v>
      </c>
      <c r="C36" s="254" t="s">
        <v>53</v>
      </c>
      <c r="E36" s="125" t="s">
        <v>66</v>
      </c>
      <c r="F36" s="21" t="s">
        <v>52</v>
      </c>
      <c r="G36" s="251" t="str">
        <f>VLOOKUP(F36,$B$36:$C$42,2,FALSE)</f>
        <v>Miow</v>
      </c>
      <c r="H36" s="221" t="str">
        <f>IFERROR(VLOOKUP(F36,$B$36:$C$42,2,FALSE),"NOT FOUND!!!")</f>
        <v>Miow</v>
      </c>
      <c r="I36" s="2"/>
    </row>
    <row r="37" spans="1:9" x14ac:dyDescent="0.35">
      <c r="B37" s="153" t="s">
        <v>62</v>
      </c>
      <c r="C37" s="254" t="s">
        <v>63</v>
      </c>
      <c r="D37"/>
      <c r="E37" s="125" t="s">
        <v>67</v>
      </c>
      <c r="F37" s="21" t="s">
        <v>54</v>
      </c>
      <c r="G37" s="251" t="str">
        <f t="shared" ref="G37:G46" si="0">VLOOKUP(F37,$B$36:$C$42,2,FALSE)</f>
        <v>Woof</v>
      </c>
      <c r="H37" s="221" t="str">
        <f t="shared" ref="H37:H46" si="1">IFERROR(VLOOKUP(F37,$B$36:$C$42,2,FALSE),"NOT FOUND!!!")</f>
        <v>Woof</v>
      </c>
    </row>
    <row r="38" spans="1:9" x14ac:dyDescent="0.35">
      <c r="B38" s="153" t="s">
        <v>58</v>
      </c>
      <c r="C38" s="254" t="s">
        <v>59</v>
      </c>
      <c r="D38"/>
      <c r="E38" s="125" t="s">
        <v>68</v>
      </c>
      <c r="F38" s="21" t="s">
        <v>62</v>
      </c>
      <c r="G38" s="251" t="str">
        <f t="shared" si="0"/>
        <v>???</v>
      </c>
      <c r="H38" s="221" t="str">
        <f t="shared" si="1"/>
        <v>???</v>
      </c>
    </row>
    <row r="39" spans="1:9" x14ac:dyDescent="0.35">
      <c r="B39" s="153" t="s">
        <v>56</v>
      </c>
      <c r="C39" s="254" t="s">
        <v>57</v>
      </c>
      <c r="D39"/>
      <c r="E39" s="125" t="s">
        <v>69</v>
      </c>
      <c r="F39" s="21" t="s">
        <v>54</v>
      </c>
      <c r="G39" s="251" t="str">
        <f t="shared" si="0"/>
        <v>Woof</v>
      </c>
      <c r="H39" s="221" t="str">
        <f t="shared" si="1"/>
        <v>Woof</v>
      </c>
    </row>
    <row r="40" spans="1:9" x14ac:dyDescent="0.35">
      <c r="B40" s="153" t="s">
        <v>60</v>
      </c>
      <c r="C40" s="254" t="s">
        <v>61</v>
      </c>
      <c r="D40"/>
      <c r="E40" s="125" t="s">
        <v>70</v>
      </c>
      <c r="F40" s="21" t="s">
        <v>60</v>
      </c>
      <c r="G40" s="251" t="str">
        <f t="shared" si="0"/>
        <v>Oink oink</v>
      </c>
      <c r="H40" s="221" t="str">
        <f t="shared" si="1"/>
        <v>Oink oink</v>
      </c>
    </row>
    <row r="41" spans="1:9" x14ac:dyDescent="0.35">
      <c r="B41" s="153" t="s">
        <v>64</v>
      </c>
      <c r="C41" s="254" t="s">
        <v>65</v>
      </c>
      <c r="D41"/>
      <c r="E41" s="125" t="s">
        <v>71</v>
      </c>
      <c r="F41" s="21" t="s">
        <v>64</v>
      </c>
      <c r="G41" s="251" t="str">
        <f t="shared" si="0"/>
        <v>Quack quack</v>
      </c>
      <c r="H41" s="221" t="str">
        <f t="shared" si="1"/>
        <v>Quack quack</v>
      </c>
    </row>
    <row r="42" spans="1:9" x14ac:dyDescent="0.35">
      <c r="B42" s="156" t="s">
        <v>54</v>
      </c>
      <c r="C42" s="255" t="s">
        <v>55</v>
      </c>
      <c r="D42"/>
      <c r="E42" s="125" t="s">
        <v>72</v>
      </c>
      <c r="F42" s="21" t="s">
        <v>58</v>
      </c>
      <c r="G42" s="251" t="str">
        <f t="shared" si="0"/>
        <v>Cricket cricket</v>
      </c>
      <c r="H42" s="221" t="str">
        <f t="shared" si="1"/>
        <v>Cricket cricket</v>
      </c>
    </row>
    <row r="43" spans="1:9" x14ac:dyDescent="0.35">
      <c r="B43"/>
      <c r="C43"/>
      <c r="D43"/>
      <c r="E43" s="125" t="s">
        <v>74</v>
      </c>
      <c r="F43" s="21" t="s">
        <v>60</v>
      </c>
      <c r="G43" s="251" t="str">
        <f t="shared" si="0"/>
        <v>Oink oink</v>
      </c>
      <c r="H43" s="221" t="str">
        <f t="shared" si="1"/>
        <v>Oink oink</v>
      </c>
    </row>
    <row r="44" spans="1:9" x14ac:dyDescent="0.35">
      <c r="B44"/>
      <c r="C44"/>
      <c r="D44" s="10" t="s">
        <v>595</v>
      </c>
      <c r="E44" s="252" t="s">
        <v>214</v>
      </c>
      <c r="F44" s="253" t="s">
        <v>215</v>
      </c>
      <c r="G44" s="260" t="e">
        <f t="shared" si="0"/>
        <v>#N/A</v>
      </c>
      <c r="H44" s="256" t="str">
        <f t="shared" si="1"/>
        <v>NOT FOUND!!!</v>
      </c>
    </row>
    <row r="45" spans="1:9" x14ac:dyDescent="0.35">
      <c r="B45" s="10"/>
      <c r="C45" s="10"/>
      <c r="D45" s="10"/>
      <c r="E45" s="125" t="s">
        <v>73</v>
      </c>
      <c r="F45" s="21" t="s">
        <v>60</v>
      </c>
      <c r="G45" s="251" t="str">
        <f t="shared" si="0"/>
        <v>Oink oink</v>
      </c>
      <c r="H45" s="221" t="str">
        <f t="shared" si="1"/>
        <v>Oink oink</v>
      </c>
    </row>
    <row r="46" spans="1:9" x14ac:dyDescent="0.35">
      <c r="B46" s="10"/>
      <c r="C46" s="10"/>
      <c r="D46" s="10"/>
      <c r="E46" s="127" t="s">
        <v>75</v>
      </c>
      <c r="F46" s="192" t="s">
        <v>52</v>
      </c>
      <c r="G46" s="261" t="str">
        <f t="shared" si="0"/>
        <v>Miow</v>
      </c>
      <c r="H46" s="224" t="str">
        <f t="shared" si="1"/>
        <v>Miow</v>
      </c>
    </row>
    <row r="47" spans="1:9" x14ac:dyDescent="0.35">
      <c r="B47" s="10"/>
      <c r="C47" s="10"/>
      <c r="D47" s="10"/>
      <c r="E47" s="10"/>
      <c r="F47" s="10"/>
      <c r="G47" s="10"/>
    </row>
    <row r="48" spans="1:9" s="101" customFormat="1" ht="18.5" x14ac:dyDescent="0.45">
      <c r="A48" s="98" t="s">
        <v>130</v>
      </c>
      <c r="B48" s="99" t="s">
        <v>256</v>
      </c>
      <c r="C48" s="100"/>
    </row>
    <row r="49" spans="1:7" s="50" customFormat="1" x14ac:dyDescent="0.35">
      <c r="B49" s="83"/>
    </row>
    <row r="50" spans="1:7" s="94" customFormat="1" ht="18.5" x14ac:dyDescent="0.35">
      <c r="A50" s="93" t="s">
        <v>130</v>
      </c>
      <c r="B50" s="94" t="s">
        <v>583</v>
      </c>
    </row>
    <row r="51" spans="1:7" s="50" customFormat="1" x14ac:dyDescent="0.35">
      <c r="B51" s="257" t="s">
        <v>584</v>
      </c>
      <c r="C51" s="53"/>
      <c r="D51" s="53"/>
      <c r="E51" s="53"/>
      <c r="F51" s="53"/>
      <c r="G51" s="53"/>
    </row>
    <row r="52" spans="1:7" s="50" customFormat="1" x14ac:dyDescent="0.35">
      <c r="B52" s="50" t="s">
        <v>585</v>
      </c>
      <c r="C52" s="53"/>
      <c r="D52" s="53"/>
      <c r="E52" s="53"/>
      <c r="F52" s="53"/>
      <c r="G52" s="53"/>
    </row>
    <row r="53" spans="1:7" s="50" customFormat="1" x14ac:dyDescent="0.35">
      <c r="B53" s="50" t="s">
        <v>587</v>
      </c>
      <c r="C53" s="83"/>
      <c r="D53" s="83"/>
      <c r="E53" s="83"/>
      <c r="F53" s="83"/>
      <c r="G53" s="83"/>
    </row>
    <row r="54" spans="1:7" s="50" customFormat="1" x14ac:dyDescent="0.35">
      <c r="B54" s="50" t="s">
        <v>586</v>
      </c>
      <c r="C54" s="83"/>
      <c r="D54" s="83"/>
      <c r="E54" s="83"/>
      <c r="F54" s="83"/>
      <c r="G54" s="83"/>
    </row>
    <row r="55" spans="1:7" s="50" customFormat="1" x14ac:dyDescent="0.35">
      <c r="B55" s="50" t="s">
        <v>588</v>
      </c>
      <c r="C55" s="83"/>
      <c r="D55" s="83"/>
      <c r="E55" s="83"/>
      <c r="F55" s="83"/>
      <c r="G55" s="83"/>
    </row>
    <row r="56" spans="1:7" s="50" customFormat="1" x14ac:dyDescent="0.35">
      <c r="B56" s="50" t="s">
        <v>589</v>
      </c>
      <c r="C56" s="83"/>
      <c r="D56" s="83"/>
      <c r="E56" s="83"/>
      <c r="F56" s="83"/>
      <c r="G56" s="83"/>
    </row>
    <row r="57" spans="1:7" s="50" customFormat="1" x14ac:dyDescent="0.35">
      <c r="C57" s="83"/>
      <c r="D57" s="83"/>
      <c r="E57" s="83"/>
      <c r="F57" s="83"/>
      <c r="G57" s="83"/>
    </row>
    <row r="58" spans="1:7" s="94" customFormat="1" ht="18.5" x14ac:dyDescent="0.35">
      <c r="A58" s="93" t="s">
        <v>130</v>
      </c>
      <c r="B58" s="94" t="s">
        <v>590</v>
      </c>
    </row>
    <row r="59" spans="1:7" s="50" customFormat="1" x14ac:dyDescent="0.35">
      <c r="B59" s="258" t="s">
        <v>591</v>
      </c>
      <c r="C59" s="53"/>
      <c r="D59" s="53"/>
      <c r="E59" s="53"/>
      <c r="F59" s="53"/>
      <c r="G59" s="53"/>
    </row>
    <row r="60" spans="1:7" s="50" customFormat="1" x14ac:dyDescent="0.35">
      <c r="B60" s="50" t="s">
        <v>592</v>
      </c>
      <c r="C60" s="53"/>
      <c r="D60" s="53"/>
      <c r="E60" s="53"/>
      <c r="F60" s="53"/>
      <c r="G60" s="53"/>
    </row>
    <row r="61" spans="1:7" s="50" customFormat="1" x14ac:dyDescent="0.35">
      <c r="B61" s="50" t="s">
        <v>593</v>
      </c>
      <c r="C61" s="83"/>
      <c r="D61" s="83"/>
      <c r="E61" s="83"/>
      <c r="F61" s="83"/>
      <c r="G61" s="83"/>
    </row>
    <row r="62" spans="1:7" s="50" customFormat="1" x14ac:dyDescent="0.35">
      <c r="B62" s="83" t="s">
        <v>594</v>
      </c>
      <c r="C62" s="83"/>
      <c r="D62" s="83"/>
      <c r="E62" s="83"/>
      <c r="F62" s="83"/>
      <c r="G62" s="83"/>
    </row>
    <row r="63" spans="1:7" s="50" customFormat="1" x14ac:dyDescent="0.35">
      <c r="B63" s="83"/>
      <c r="C63" s="83"/>
      <c r="D63" s="83"/>
      <c r="E63" s="83"/>
      <c r="F63" s="83"/>
      <c r="G63" s="83"/>
    </row>
    <row r="64" spans="1:7" s="101" customFormat="1" ht="18.5" x14ac:dyDescent="0.45">
      <c r="A64" s="98" t="s">
        <v>130</v>
      </c>
      <c r="B64" s="99" t="s">
        <v>238</v>
      </c>
      <c r="C64" s="100"/>
    </row>
    <row r="65" spans="1:9" s="50" customFormat="1" x14ac:dyDescent="0.35">
      <c r="B65" s="258" t="s">
        <v>612</v>
      </c>
      <c r="C65" s="53"/>
      <c r="D65" s="53"/>
      <c r="E65" s="53"/>
      <c r="F65" s="53"/>
      <c r="G65" s="53"/>
    </row>
    <row r="66" spans="1:9" s="50" customFormat="1" x14ac:dyDescent="0.35">
      <c r="C66" s="53"/>
      <c r="D66" s="53"/>
      <c r="E66" s="53"/>
      <c r="F66" s="53"/>
      <c r="G66" s="53"/>
    </row>
    <row r="67" spans="1:9" s="97" customFormat="1" ht="18.5" x14ac:dyDescent="0.45">
      <c r="A67" s="93" t="s">
        <v>130</v>
      </c>
      <c r="B67" s="95" t="s">
        <v>599</v>
      </c>
      <c r="C67" s="96"/>
      <c r="D67" s="95"/>
    </row>
    <row r="68" spans="1:9" s="50" customFormat="1" x14ac:dyDescent="0.35">
      <c r="B68" s="54"/>
      <c r="C68" s="54"/>
      <c r="D68" s="54"/>
    </row>
    <row r="69" spans="1:9" s="94" customFormat="1" ht="18.5" x14ac:dyDescent="0.35">
      <c r="A69" s="93" t="s">
        <v>130</v>
      </c>
      <c r="B69" s="201" t="s">
        <v>577</v>
      </c>
      <c r="C69" s="201"/>
      <c r="E69" s="201" t="s">
        <v>578</v>
      </c>
      <c r="F69" s="201"/>
      <c r="G69" s="213" t="s">
        <v>597</v>
      </c>
      <c r="H69" s="262" t="s">
        <v>600</v>
      </c>
    </row>
    <row r="70" spans="1:9" ht="43.5" x14ac:dyDescent="0.35">
      <c r="B70" s="263" t="s">
        <v>601</v>
      </c>
      <c r="C70" s="152" t="s">
        <v>149</v>
      </c>
      <c r="D70"/>
      <c r="E70" s="123" t="s">
        <v>579</v>
      </c>
      <c r="F70" s="191" t="s">
        <v>148</v>
      </c>
      <c r="G70" s="259" t="s">
        <v>602</v>
      </c>
      <c r="H70" s="218" t="s">
        <v>611</v>
      </c>
    </row>
    <row r="71" spans="1:9" x14ac:dyDescent="0.35">
      <c r="B71" s="125" t="s">
        <v>603</v>
      </c>
      <c r="C71" s="254" t="s">
        <v>53</v>
      </c>
      <c r="E71" s="125" t="s">
        <v>66</v>
      </c>
      <c r="F71" s="21" t="s">
        <v>52</v>
      </c>
      <c r="G71" s="251" t="e">
        <f>VLOOKUP(F71,$B$71:$C$77,2,FALSE)</f>
        <v>#N/A</v>
      </c>
      <c r="H71" s="221" t="str">
        <f>VLOOKUP("*" &amp; F71 &amp; "*",$B$71:$C$77,2,FALSE)</f>
        <v>Miow</v>
      </c>
      <c r="I71" s="2"/>
    </row>
    <row r="72" spans="1:9" x14ac:dyDescent="0.35">
      <c r="B72" s="125" t="s">
        <v>604</v>
      </c>
      <c r="C72" s="254" t="s">
        <v>63</v>
      </c>
      <c r="D72"/>
      <c r="E72" s="125" t="s">
        <v>67</v>
      </c>
      <c r="F72" s="21" t="s">
        <v>54</v>
      </c>
      <c r="G72" s="251" t="e">
        <f t="shared" ref="G72:G81" si="2">VLOOKUP(F72,$B$71:$C$77,2,FALSE)</f>
        <v>#N/A</v>
      </c>
      <c r="H72" s="221" t="str">
        <f t="shared" ref="H72:H81" si="3">VLOOKUP("*" &amp; F72 &amp; "*",$B$71:$C$77,2,FALSE)</f>
        <v>Woof</v>
      </c>
    </row>
    <row r="73" spans="1:9" x14ac:dyDescent="0.35">
      <c r="B73" s="125" t="s">
        <v>605</v>
      </c>
      <c r="C73" s="254" t="s">
        <v>59</v>
      </c>
      <c r="D73"/>
      <c r="E73" s="125" t="s">
        <v>68</v>
      </c>
      <c r="F73" s="21" t="s">
        <v>62</v>
      </c>
      <c r="G73" s="251" t="e">
        <f t="shared" si="2"/>
        <v>#N/A</v>
      </c>
      <c r="H73" s="221" t="str">
        <f t="shared" si="3"/>
        <v>???</v>
      </c>
    </row>
    <row r="74" spans="1:9" x14ac:dyDescent="0.35">
      <c r="B74" s="125" t="s">
        <v>606</v>
      </c>
      <c r="C74" s="254" t="s">
        <v>57</v>
      </c>
      <c r="D74"/>
      <c r="E74" s="125" t="s">
        <v>69</v>
      </c>
      <c r="F74" s="21" t="s">
        <v>54</v>
      </c>
      <c r="G74" s="251" t="e">
        <f t="shared" si="2"/>
        <v>#N/A</v>
      </c>
      <c r="H74" s="221" t="str">
        <f t="shared" si="3"/>
        <v>Woof</v>
      </c>
    </row>
    <row r="75" spans="1:9" x14ac:dyDescent="0.35">
      <c r="B75" s="125" t="s">
        <v>607</v>
      </c>
      <c r="C75" s="254" t="s">
        <v>61</v>
      </c>
      <c r="D75"/>
      <c r="E75" s="125" t="s">
        <v>70</v>
      </c>
      <c r="F75" s="21" t="s">
        <v>60</v>
      </c>
      <c r="G75" s="251" t="e">
        <f t="shared" si="2"/>
        <v>#N/A</v>
      </c>
      <c r="H75" s="221" t="str">
        <f t="shared" si="3"/>
        <v>Oink oink</v>
      </c>
    </row>
    <row r="76" spans="1:9" x14ac:dyDescent="0.35">
      <c r="B76" s="125" t="s">
        <v>608</v>
      </c>
      <c r="C76" s="254" t="s">
        <v>65</v>
      </c>
      <c r="D76"/>
      <c r="E76" s="125" t="s">
        <v>71</v>
      </c>
      <c r="F76" s="21" t="s">
        <v>64</v>
      </c>
      <c r="G76" s="251" t="e">
        <f t="shared" si="2"/>
        <v>#N/A</v>
      </c>
      <c r="H76" s="221" t="str">
        <f t="shared" si="3"/>
        <v>Quack quack</v>
      </c>
    </row>
    <row r="77" spans="1:9" x14ac:dyDescent="0.35">
      <c r="B77" s="127" t="s">
        <v>609</v>
      </c>
      <c r="C77" s="255" t="s">
        <v>55</v>
      </c>
      <c r="D77"/>
      <c r="E77" s="125" t="s">
        <v>72</v>
      </c>
      <c r="F77" s="21" t="s">
        <v>58</v>
      </c>
      <c r="G77" s="251" t="e">
        <f t="shared" si="2"/>
        <v>#N/A</v>
      </c>
      <c r="H77" s="221" t="str">
        <f t="shared" si="3"/>
        <v>Cricket cricket</v>
      </c>
    </row>
    <row r="78" spans="1:9" x14ac:dyDescent="0.35">
      <c r="B78"/>
      <c r="C78"/>
      <c r="D78"/>
      <c r="E78" s="125" t="s">
        <v>74</v>
      </c>
      <c r="F78" s="21" t="s">
        <v>60</v>
      </c>
      <c r="G78" s="251" t="e">
        <f t="shared" si="2"/>
        <v>#N/A</v>
      </c>
      <c r="H78" s="221" t="str">
        <f t="shared" si="3"/>
        <v>Oink oink</v>
      </c>
    </row>
    <row r="79" spans="1:9" x14ac:dyDescent="0.35">
      <c r="B79"/>
      <c r="C79"/>
      <c r="D79" s="10" t="s">
        <v>595</v>
      </c>
      <c r="E79" s="252" t="s">
        <v>214</v>
      </c>
      <c r="F79" s="253" t="s">
        <v>215</v>
      </c>
      <c r="G79" s="251" t="e">
        <f t="shared" si="2"/>
        <v>#N/A</v>
      </c>
      <c r="H79" s="221" t="e">
        <f t="shared" si="3"/>
        <v>#N/A</v>
      </c>
    </row>
    <row r="80" spans="1:9" x14ac:dyDescent="0.35">
      <c r="B80" s="10"/>
      <c r="C80" s="10"/>
      <c r="D80" s="10"/>
      <c r="E80" s="125" t="s">
        <v>73</v>
      </c>
      <c r="F80" s="21" t="s">
        <v>60</v>
      </c>
      <c r="G80" s="251" t="e">
        <f t="shared" si="2"/>
        <v>#N/A</v>
      </c>
      <c r="H80" s="221" t="str">
        <f t="shared" si="3"/>
        <v>Oink oink</v>
      </c>
    </row>
    <row r="81" spans="1:9" x14ac:dyDescent="0.35">
      <c r="B81" s="10"/>
      <c r="C81" s="10"/>
      <c r="D81" s="10"/>
      <c r="E81" s="127" t="s">
        <v>75</v>
      </c>
      <c r="F81" s="192" t="s">
        <v>52</v>
      </c>
      <c r="G81" s="261" t="e">
        <f t="shared" si="2"/>
        <v>#N/A</v>
      </c>
      <c r="H81" s="224" t="str">
        <f t="shared" si="3"/>
        <v>Miow</v>
      </c>
    </row>
    <row r="82" spans="1:9" x14ac:dyDescent="0.35">
      <c r="B82" s="10"/>
      <c r="C82" s="10"/>
      <c r="D82" s="10"/>
      <c r="E82" s="10"/>
      <c r="F82" s="10"/>
      <c r="G82" s="10"/>
    </row>
    <row r="83" spans="1:9" s="101" customFormat="1" ht="18.5" x14ac:dyDescent="0.45">
      <c r="A83" s="98" t="s">
        <v>130</v>
      </c>
      <c r="B83" s="99" t="s">
        <v>256</v>
      </c>
      <c r="C83" s="100"/>
    </row>
    <row r="84" spans="1:9" s="50" customFormat="1" x14ac:dyDescent="0.35">
      <c r="B84" s="83"/>
    </row>
    <row r="85" spans="1:9" s="94" customFormat="1" ht="18.5" x14ac:dyDescent="0.35">
      <c r="A85" s="93" t="s">
        <v>130</v>
      </c>
      <c r="B85" s="94" t="s">
        <v>613</v>
      </c>
    </row>
    <row r="86" spans="1:9" s="50" customFormat="1" x14ac:dyDescent="0.35">
      <c r="B86" s="83"/>
      <c r="C86" s="83"/>
      <c r="D86" s="83"/>
      <c r="E86" s="83"/>
      <c r="F86" s="83"/>
      <c r="G86" s="83"/>
    </row>
    <row r="87" spans="1:9" s="50" customFormat="1" x14ac:dyDescent="0.35">
      <c r="A87" s="103"/>
      <c r="B87" s="83" t="s">
        <v>614</v>
      </c>
      <c r="C87" s="83"/>
      <c r="D87" s="83"/>
      <c r="E87" s="83"/>
      <c r="F87" s="83"/>
      <c r="G87" s="83"/>
    </row>
    <row r="88" spans="1:9" s="50" customFormat="1" x14ac:dyDescent="0.35">
      <c r="B88" s="83" t="s">
        <v>615</v>
      </c>
      <c r="C88" s="83"/>
      <c r="D88" s="83"/>
      <c r="E88" s="83"/>
      <c r="F88" s="83"/>
      <c r="G88" s="83"/>
    </row>
    <row r="89" spans="1:9" s="50" customFormat="1" x14ac:dyDescent="0.35">
      <c r="B89" s="83" t="s">
        <v>616</v>
      </c>
      <c r="C89" s="83"/>
      <c r="D89" s="83"/>
      <c r="E89" s="83"/>
      <c r="F89" s="83"/>
      <c r="G89" s="83"/>
    </row>
    <row r="90" spans="1:9" s="50" customFormat="1" x14ac:dyDescent="0.35">
      <c r="B90" s="83" t="s">
        <v>617</v>
      </c>
      <c r="C90" s="83"/>
      <c r="D90" s="83"/>
      <c r="E90" s="83"/>
      <c r="F90" s="83"/>
      <c r="G90" s="83"/>
    </row>
    <row r="91" spans="1:9" s="50" customFormat="1" x14ac:dyDescent="0.35">
      <c r="B91" s="83"/>
      <c r="C91" s="83"/>
      <c r="D91" s="83"/>
      <c r="E91" s="83"/>
      <c r="F91" s="83"/>
      <c r="G91" s="83"/>
    </row>
    <row r="92" spans="1:9" s="94" customFormat="1" ht="18.5" x14ac:dyDescent="0.35">
      <c r="A92" s="93" t="s">
        <v>130</v>
      </c>
      <c r="B92" s="94" t="s">
        <v>577</v>
      </c>
      <c r="E92" s="94" t="s">
        <v>646</v>
      </c>
    </row>
    <row r="93" spans="1:9" x14ac:dyDescent="0.35">
      <c r="B93" s="149" t="s">
        <v>148</v>
      </c>
      <c r="C93" s="152" t="s">
        <v>149</v>
      </c>
      <c r="E93" s="266" t="s">
        <v>140</v>
      </c>
      <c r="F93" s="259" t="s">
        <v>622</v>
      </c>
      <c r="G93" s="268" t="s">
        <v>623</v>
      </c>
      <c r="H93" s="265"/>
      <c r="I93" s="187"/>
    </row>
    <row r="94" spans="1:9" x14ac:dyDescent="0.35">
      <c r="B94" s="153" t="s">
        <v>52</v>
      </c>
      <c r="C94" s="254" t="s">
        <v>53</v>
      </c>
      <c r="E94" s="266" t="s">
        <v>619</v>
      </c>
      <c r="F94" s="267" t="str">
        <f>VLOOKUP(C102,$B$94:$C$100,2,FALSE)</f>
        <v>Miow</v>
      </c>
      <c r="G94" s="268" t="s">
        <v>628</v>
      </c>
      <c r="H94" s="265"/>
      <c r="I94" s="187"/>
    </row>
    <row r="95" spans="1:9" x14ac:dyDescent="0.35">
      <c r="B95" s="153" t="s">
        <v>62</v>
      </c>
      <c r="C95" s="254" t="s">
        <v>63</v>
      </c>
      <c r="E95" s="269" t="s">
        <v>620</v>
      </c>
      <c r="F95" s="220" t="str">
        <f>_xlfn.XLOOKUP(C102,$B$94:$B$100,$C$94:$C$100,"???",2)</f>
        <v>Miow</v>
      </c>
      <c r="G95" s="270" t="s">
        <v>629</v>
      </c>
      <c r="I95" s="173"/>
    </row>
    <row r="96" spans="1:9" x14ac:dyDescent="0.35">
      <c r="B96" s="153" t="s">
        <v>58</v>
      </c>
      <c r="C96" s="254" t="s">
        <v>59</v>
      </c>
      <c r="E96" s="271" t="s">
        <v>621</v>
      </c>
      <c r="F96" s="272" t="str">
        <f>INDEX($B$94:$C$100,MATCH(C102,$B$94:$B$100,0),2)</f>
        <v>Miow</v>
      </c>
      <c r="G96" s="273" t="s">
        <v>630</v>
      </c>
      <c r="H96" s="157"/>
      <c r="I96" s="175"/>
    </row>
    <row r="97" spans="2:6" x14ac:dyDescent="0.35">
      <c r="B97" s="153" t="s">
        <v>56</v>
      </c>
      <c r="C97" s="254" t="s">
        <v>57</v>
      </c>
    </row>
    <row r="98" spans="2:6" x14ac:dyDescent="0.35">
      <c r="B98" s="153" t="s">
        <v>60</v>
      </c>
      <c r="C98" s="254" t="s">
        <v>61</v>
      </c>
      <c r="E98" s="123" t="s">
        <v>645</v>
      </c>
      <c r="F98" s="281" t="s">
        <v>647</v>
      </c>
    </row>
    <row r="99" spans="2:6" x14ac:dyDescent="0.35">
      <c r="B99" s="153" t="s">
        <v>64</v>
      </c>
      <c r="C99" s="254" t="s">
        <v>65</v>
      </c>
      <c r="E99" s="282" t="s">
        <v>624</v>
      </c>
      <c r="F99" s="274" t="s">
        <v>632</v>
      </c>
    </row>
    <row r="100" spans="2:6" x14ac:dyDescent="0.35">
      <c r="B100" s="156" t="s">
        <v>54</v>
      </c>
      <c r="C100" s="255" t="s">
        <v>55</v>
      </c>
      <c r="E100" s="283" t="s">
        <v>631</v>
      </c>
      <c r="F100" s="275" t="s">
        <v>633</v>
      </c>
    </row>
    <row r="101" spans="2:6" x14ac:dyDescent="0.35">
      <c r="E101" s="284" t="s">
        <v>625</v>
      </c>
      <c r="F101" s="276" t="s">
        <v>634</v>
      </c>
    </row>
    <row r="102" spans="2:6" x14ac:dyDescent="0.35">
      <c r="B102" s="29" t="s">
        <v>618</v>
      </c>
      <c r="C102" s="30" t="s">
        <v>52</v>
      </c>
      <c r="E102" s="285" t="s">
        <v>626</v>
      </c>
      <c r="F102" s="277" t="s">
        <v>635</v>
      </c>
    </row>
    <row r="103" spans="2:6" x14ac:dyDescent="0.35">
      <c r="E103" s="286" t="s">
        <v>627</v>
      </c>
      <c r="F103" s="278" t="s">
        <v>636</v>
      </c>
    </row>
  </sheetData>
  <hyperlinks>
    <hyperlink ref="B1" location="Menu!A1" display="Main Menu" xr:uid="{DEE6F417-D375-464D-866A-AB1C90A80F85}"/>
    <hyperlink ref="C1" location="'C3 Exercise'!A1" display="              Exercise              " xr:uid="{6EDCFF58-5C63-48AC-9371-4BFD60A7AAC9}"/>
    <hyperlink ref="E1" location="'2_1 Exercise'!A1" display="                                                       " xr:uid="{DFEE855B-13B7-4080-87F7-194B031FB0A2}"/>
    <hyperlink ref="D1" location="'2_1 Exercise'!A1" display="                " xr:uid="{01A1D8B5-D7DA-491A-B405-91DF16C1B4AD}"/>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6">
    <tabColor rgb="FF002060"/>
  </sheetPr>
  <dimension ref="A1:I21"/>
  <sheetViews>
    <sheetView workbookViewId="0"/>
  </sheetViews>
  <sheetFormatPr defaultColWidth="11.453125" defaultRowHeight="14.5" x14ac:dyDescent="0.35"/>
  <cols>
    <col min="1" max="1" width="5.6328125" customWidth="1"/>
    <col min="2" max="4" width="23.453125" customWidth="1"/>
    <col min="5" max="5" width="3" customWidth="1"/>
    <col min="6" max="9" width="23.453125" customWidth="1"/>
  </cols>
  <sheetData>
    <row r="1" spans="1:9" s="50" customFormat="1" ht="18.5" x14ac:dyDescent="0.35">
      <c r="A1" s="87" t="s">
        <v>130</v>
      </c>
      <c r="B1" s="80" t="s">
        <v>243</v>
      </c>
      <c r="C1" s="80" t="s">
        <v>359</v>
      </c>
      <c r="D1" s="50" t="s">
        <v>582</v>
      </c>
      <c r="E1" s="50" t="s">
        <v>581</v>
      </c>
    </row>
    <row r="2" spans="1:9" s="50" customFormat="1" x14ac:dyDescent="0.35">
      <c r="E2" s="83"/>
    </row>
    <row r="3" spans="1:9" s="107" customFormat="1" ht="18.5" x14ac:dyDescent="0.45">
      <c r="A3" s="104" t="s">
        <v>130</v>
      </c>
      <c r="B3" s="105" t="s">
        <v>637</v>
      </c>
      <c r="C3" s="106"/>
    </row>
    <row r="4" spans="1:9" s="50" customFormat="1" x14ac:dyDescent="0.35">
      <c r="B4" s="50" t="s">
        <v>638</v>
      </c>
      <c r="E4" s="83"/>
    </row>
    <row r="5" spans="1:9" s="50" customFormat="1" x14ac:dyDescent="0.35">
      <c r="B5" s="50" t="s">
        <v>639</v>
      </c>
      <c r="E5" s="83"/>
    </row>
    <row r="6" spans="1:9" s="50" customFormat="1" x14ac:dyDescent="0.35">
      <c r="B6" s="50" t="s">
        <v>642</v>
      </c>
      <c r="E6" s="83"/>
    </row>
    <row r="7" spans="1:9" s="50" customFormat="1" x14ac:dyDescent="0.35">
      <c r="E7" s="83"/>
    </row>
    <row r="8" spans="1:9" s="96" customFormat="1" ht="18.5" x14ac:dyDescent="0.45">
      <c r="A8" s="117" t="s">
        <v>130</v>
      </c>
      <c r="B8" s="96" t="s">
        <v>640</v>
      </c>
      <c r="F8" s="96" t="s">
        <v>641</v>
      </c>
    </row>
    <row r="9" spans="1:9" s="133" customFormat="1" x14ac:dyDescent="0.35">
      <c r="B9" s="123" t="s">
        <v>76</v>
      </c>
      <c r="C9" s="191" t="s">
        <v>77</v>
      </c>
      <c r="D9" s="124" t="s">
        <v>43</v>
      </c>
      <c r="F9" s="123" t="s">
        <v>95</v>
      </c>
      <c r="G9" s="191" t="s">
        <v>96</v>
      </c>
      <c r="H9" s="280" t="s">
        <v>643</v>
      </c>
      <c r="I9" s="279" t="s">
        <v>644</v>
      </c>
    </row>
    <row r="10" spans="1:9" x14ac:dyDescent="0.35">
      <c r="B10" s="125" t="s">
        <v>81</v>
      </c>
      <c r="C10" s="21" t="s">
        <v>79</v>
      </c>
      <c r="D10" s="126" t="s">
        <v>83</v>
      </c>
      <c r="F10" s="125" t="s">
        <v>97</v>
      </c>
      <c r="G10" s="21" t="s">
        <v>82</v>
      </c>
      <c r="H10" s="220"/>
      <c r="I10" s="221"/>
    </row>
    <row r="11" spans="1:9" x14ac:dyDescent="0.35">
      <c r="B11" s="125" t="s">
        <v>82</v>
      </c>
      <c r="C11" s="21" t="s">
        <v>79</v>
      </c>
      <c r="D11" s="126" t="s">
        <v>80</v>
      </c>
      <c r="F11" s="125" t="s">
        <v>99</v>
      </c>
      <c r="G11" s="21" t="s">
        <v>81</v>
      </c>
      <c r="H11" s="220"/>
      <c r="I11" s="221"/>
    </row>
    <row r="12" spans="1:9" x14ac:dyDescent="0.35">
      <c r="B12" s="125" t="s">
        <v>84</v>
      </c>
      <c r="C12" s="21" t="s">
        <v>79</v>
      </c>
      <c r="D12" s="126" t="s">
        <v>85</v>
      </c>
      <c r="F12" s="125" t="s">
        <v>100</v>
      </c>
      <c r="G12" s="21" t="s">
        <v>87</v>
      </c>
      <c r="H12" s="220"/>
      <c r="I12" s="221"/>
    </row>
    <row r="13" spans="1:9" x14ac:dyDescent="0.35">
      <c r="B13" s="125" t="s">
        <v>88</v>
      </c>
      <c r="C13" s="21" t="s">
        <v>89</v>
      </c>
      <c r="D13" s="126" t="s">
        <v>90</v>
      </c>
      <c r="F13" s="125" t="s">
        <v>102</v>
      </c>
      <c r="G13" s="21" t="s">
        <v>84</v>
      </c>
      <c r="H13" s="220"/>
      <c r="I13" s="221"/>
    </row>
    <row r="14" spans="1:9" x14ac:dyDescent="0.35">
      <c r="B14" s="125" t="s">
        <v>87</v>
      </c>
      <c r="C14" s="21" t="s">
        <v>86</v>
      </c>
      <c r="D14" s="126" t="s">
        <v>94</v>
      </c>
      <c r="F14" s="125" t="s">
        <v>103</v>
      </c>
      <c r="G14" s="21" t="s">
        <v>84</v>
      </c>
      <c r="H14" s="220"/>
      <c r="I14" s="221"/>
    </row>
    <row r="15" spans="1:9" x14ac:dyDescent="0.35">
      <c r="B15" s="125" t="s">
        <v>91</v>
      </c>
      <c r="C15" s="21" t="s">
        <v>92</v>
      </c>
      <c r="D15" s="126" t="s">
        <v>93</v>
      </c>
      <c r="F15" s="125" t="s">
        <v>172</v>
      </c>
      <c r="G15" s="21" t="s">
        <v>173</v>
      </c>
      <c r="H15" s="220"/>
      <c r="I15" s="221"/>
    </row>
    <row r="16" spans="1:9" x14ac:dyDescent="0.35">
      <c r="B16" s="127" t="s">
        <v>173</v>
      </c>
      <c r="C16" s="192" t="s">
        <v>79</v>
      </c>
      <c r="D16" s="128" t="s">
        <v>175</v>
      </c>
      <c r="F16" s="125" t="s">
        <v>104</v>
      </c>
      <c r="G16" s="21" t="s">
        <v>88</v>
      </c>
      <c r="H16" s="220"/>
      <c r="I16" s="221"/>
    </row>
    <row r="17" spans="6:9" x14ac:dyDescent="0.35">
      <c r="F17" s="125" t="s">
        <v>174</v>
      </c>
      <c r="G17" s="21" t="s">
        <v>173</v>
      </c>
      <c r="H17" s="220"/>
      <c r="I17" s="221"/>
    </row>
    <row r="18" spans="6:9" x14ac:dyDescent="0.35">
      <c r="F18" s="125" t="s">
        <v>98</v>
      </c>
      <c r="G18" s="21" t="s">
        <v>82</v>
      </c>
      <c r="H18" s="220"/>
      <c r="I18" s="221"/>
    </row>
    <row r="19" spans="6:9" x14ac:dyDescent="0.35">
      <c r="F19" s="125" t="s">
        <v>105</v>
      </c>
      <c r="G19" s="21" t="s">
        <v>88</v>
      </c>
      <c r="H19" s="220"/>
      <c r="I19" s="221"/>
    </row>
    <row r="20" spans="6:9" x14ac:dyDescent="0.35">
      <c r="F20" s="125" t="s">
        <v>101</v>
      </c>
      <c r="G20" s="21" t="s">
        <v>84</v>
      </c>
      <c r="H20" s="220"/>
      <c r="I20" s="221"/>
    </row>
    <row r="21" spans="6:9" x14ac:dyDescent="0.35">
      <c r="F21" s="127" t="s">
        <v>106</v>
      </c>
      <c r="G21" s="192" t="s">
        <v>91</v>
      </c>
      <c r="H21" s="223"/>
      <c r="I21" s="224"/>
    </row>
  </sheetData>
  <sortState xmlns:xlrd2="http://schemas.microsoft.com/office/spreadsheetml/2017/richdata2" ref="F11:G21">
    <sortCondition ref="F10"/>
  </sortState>
  <hyperlinks>
    <hyperlink ref="B1" location="Menu!A1" display="Main Menu" xr:uid="{7F85F33D-42BB-4B7F-B28F-7AB433BF2D8E}"/>
    <hyperlink ref="C1" location="'C3 Instructions'!A1" display="Instructions" xr:uid="{214C9368-216D-44C8-8501-6B8C68C7ABE1}"/>
    <hyperlink ref="E1" location="'2_1 Exercise'!A1" display="                                                       " xr:uid="{B49D4AB8-B761-48EA-849C-7A56D48C7DE6}"/>
    <hyperlink ref="D1" location="'2_1 Exercise'!A1" display="                " xr:uid="{A844FE55-630D-453E-BFAB-02230C9F377D}"/>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rgb="FFFFFF00"/>
  </sheetPr>
  <dimension ref="A1:I85"/>
  <sheetViews>
    <sheetView workbookViewId="0"/>
  </sheetViews>
  <sheetFormatPr defaultColWidth="11.453125" defaultRowHeight="14.5" x14ac:dyDescent="0.35"/>
  <cols>
    <col min="1" max="1" width="6.54296875" customWidth="1"/>
    <col min="2" max="4" width="23.453125" style="2" customWidth="1"/>
    <col min="5" max="5" width="6" style="2" customWidth="1"/>
    <col min="6" max="7" width="18.6328125" style="2" customWidth="1"/>
    <col min="8" max="8" width="32.36328125" style="2" customWidth="1"/>
    <col min="9" max="9" width="14" style="2" customWidth="1"/>
  </cols>
  <sheetData>
    <row r="1" spans="1:5" s="50" customFormat="1" ht="18.5" x14ac:dyDescent="0.35">
      <c r="A1" s="87" t="s">
        <v>130</v>
      </c>
      <c r="B1" s="80" t="s">
        <v>243</v>
      </c>
      <c r="C1" s="80" t="s">
        <v>244</v>
      </c>
      <c r="D1" s="50" t="s">
        <v>582</v>
      </c>
      <c r="E1" s="50" t="s">
        <v>581</v>
      </c>
    </row>
    <row r="2" spans="1:5" s="50" customFormat="1" ht="15" thickBot="1" x14ac:dyDescent="0.4">
      <c r="B2" s="83"/>
    </row>
    <row r="3" spans="1:5" s="50" customFormat="1" ht="18.75" customHeight="1" x14ac:dyDescent="0.45">
      <c r="B3" s="114"/>
      <c r="C3" s="77" t="s">
        <v>1254</v>
      </c>
      <c r="D3" s="57"/>
    </row>
    <row r="4" spans="1:5" s="50" customFormat="1" ht="18.5" x14ac:dyDescent="0.45">
      <c r="B4" s="116"/>
      <c r="C4" s="49"/>
      <c r="D4" s="60"/>
    </row>
    <row r="5" spans="1:5" s="50" customFormat="1" ht="15.5" x14ac:dyDescent="0.35">
      <c r="B5" s="116"/>
      <c r="C5" s="85" t="s">
        <v>234</v>
      </c>
      <c r="D5" s="60"/>
    </row>
    <row r="6" spans="1:5" s="50" customFormat="1" x14ac:dyDescent="0.35">
      <c r="B6" s="116"/>
      <c r="C6" s="78" t="s">
        <v>648</v>
      </c>
      <c r="D6" s="60"/>
    </row>
    <row r="7" spans="1:5" s="50" customFormat="1" x14ac:dyDescent="0.35">
      <c r="B7" s="116"/>
      <c r="C7" s="78" t="s">
        <v>649</v>
      </c>
      <c r="D7" s="60"/>
    </row>
    <row r="8" spans="1:5" s="50" customFormat="1" x14ac:dyDescent="0.35">
      <c r="B8" s="116"/>
      <c r="C8" s="78" t="s">
        <v>650</v>
      </c>
      <c r="D8" s="60"/>
    </row>
    <row r="9" spans="1:5" s="50" customFormat="1" x14ac:dyDescent="0.35">
      <c r="B9" s="116"/>
      <c r="C9" s="78" t="s">
        <v>659</v>
      </c>
      <c r="D9" s="60"/>
    </row>
    <row r="10" spans="1:5" s="50" customFormat="1" x14ac:dyDescent="0.35">
      <c r="B10" s="116"/>
      <c r="C10" s="78"/>
      <c r="D10" s="60"/>
    </row>
    <row r="11" spans="1:5" s="50" customFormat="1" ht="15.5" x14ac:dyDescent="0.35">
      <c r="B11" s="116"/>
      <c r="C11" s="85" t="s">
        <v>372</v>
      </c>
      <c r="D11" s="60"/>
    </row>
    <row r="12" spans="1:5" s="50" customFormat="1" x14ac:dyDescent="0.35">
      <c r="B12" s="115"/>
      <c r="C12" s="78" t="s">
        <v>651</v>
      </c>
      <c r="D12" s="60"/>
    </row>
    <row r="13" spans="1:5" s="50" customFormat="1" x14ac:dyDescent="0.35">
      <c r="B13" s="115"/>
      <c r="C13" s="78"/>
      <c r="D13" s="60"/>
    </row>
    <row r="14" spans="1:5" s="50" customFormat="1" ht="15.5" x14ac:dyDescent="0.35">
      <c r="B14" s="115"/>
      <c r="C14" s="85" t="s">
        <v>237</v>
      </c>
      <c r="D14" s="60"/>
    </row>
    <row r="15" spans="1:5" s="50" customFormat="1" x14ac:dyDescent="0.35">
      <c r="B15" s="115"/>
      <c r="C15" s="78" t="s">
        <v>414</v>
      </c>
      <c r="D15" s="60"/>
    </row>
    <row r="16" spans="1:5" s="50" customFormat="1" x14ac:dyDescent="0.35">
      <c r="B16" s="115"/>
      <c r="C16" s="78" t="s">
        <v>652</v>
      </c>
      <c r="D16" s="60"/>
    </row>
    <row r="17" spans="1:4" s="50" customFormat="1" ht="15" thickBot="1" x14ac:dyDescent="0.4">
      <c r="B17" s="86"/>
      <c r="C17" s="63"/>
      <c r="D17" s="65"/>
    </row>
    <row r="18" spans="1:4" s="50" customFormat="1" x14ac:dyDescent="0.35">
      <c r="B18" s="83"/>
    </row>
    <row r="19" spans="1:4" s="101" customFormat="1" ht="18.5" x14ac:dyDescent="0.45">
      <c r="A19" s="98" t="s">
        <v>130</v>
      </c>
      <c r="B19" s="99" t="s">
        <v>238</v>
      </c>
      <c r="C19" s="100"/>
    </row>
    <row r="20" spans="1:4" s="50" customFormat="1" x14ac:dyDescent="0.35">
      <c r="A20" s="87"/>
      <c r="B20" s="50" t="s">
        <v>653</v>
      </c>
    </row>
    <row r="21" spans="1:4" s="50" customFormat="1" x14ac:dyDescent="0.35">
      <c r="A21" s="87"/>
      <c r="B21" s="50" t="s">
        <v>654</v>
      </c>
      <c r="C21" s="287" cm="1">
        <f t="array" ref="C21">SUM($C$44:$C$47*$D$44:$D$47)</f>
        <v>36.61</v>
      </c>
    </row>
    <row r="22" spans="1:4" s="50" customFormat="1" x14ac:dyDescent="0.35">
      <c r="A22" s="87"/>
    </row>
    <row r="23" spans="1:4" s="50" customFormat="1" x14ac:dyDescent="0.35">
      <c r="A23" s="87"/>
      <c r="B23" s="51" t="s">
        <v>665</v>
      </c>
    </row>
    <row r="24" spans="1:4" s="50" customFormat="1" x14ac:dyDescent="0.35">
      <c r="A24" s="87"/>
      <c r="B24" s="51" t="s">
        <v>660</v>
      </c>
    </row>
    <row r="25" spans="1:4" s="50" customFormat="1" x14ac:dyDescent="0.35">
      <c r="A25" s="87"/>
      <c r="B25" s="50" t="s">
        <v>655</v>
      </c>
    </row>
    <row r="26" spans="1:4" s="50" customFormat="1" x14ac:dyDescent="0.35">
      <c r="A26" s="87"/>
    </row>
    <row r="27" spans="1:4" s="50" customFormat="1" x14ac:dyDescent="0.35">
      <c r="A27" s="87"/>
      <c r="B27" s="51" t="s">
        <v>657</v>
      </c>
    </row>
    <row r="28" spans="1:4" s="50" customFormat="1" x14ac:dyDescent="0.35">
      <c r="A28" s="87"/>
      <c r="B28" s="50" t="s">
        <v>658</v>
      </c>
    </row>
    <row r="29" spans="1:4" s="50" customFormat="1" x14ac:dyDescent="0.35">
      <c r="A29" s="87"/>
      <c r="B29" s="50" t="s">
        <v>656</v>
      </c>
    </row>
    <row r="30" spans="1:4" s="50" customFormat="1" x14ac:dyDescent="0.35">
      <c r="A30" s="87"/>
    </row>
    <row r="31" spans="1:4" s="50" customFormat="1" x14ac:dyDescent="0.35">
      <c r="A31" s="87"/>
      <c r="B31" s="51" t="s">
        <v>667</v>
      </c>
    </row>
    <row r="32" spans="1:4" s="50" customFormat="1" x14ac:dyDescent="0.35">
      <c r="A32" s="87"/>
      <c r="B32" s="50" t="s">
        <v>668</v>
      </c>
    </row>
    <row r="33" spans="1:9" s="50" customFormat="1" x14ac:dyDescent="0.35">
      <c r="A33" s="87"/>
    </row>
    <row r="34" spans="1:9" s="50" customFormat="1" x14ac:dyDescent="0.35">
      <c r="A34" s="87"/>
      <c r="B34" s="50" t="s">
        <v>662</v>
      </c>
    </row>
    <row r="35" spans="1:9" s="50" customFormat="1" x14ac:dyDescent="0.35">
      <c r="B35" s="83" t="s">
        <v>663</v>
      </c>
      <c r="C35" s="54"/>
      <c r="D35" s="54"/>
    </row>
    <row r="36" spans="1:9" s="50" customFormat="1" x14ac:dyDescent="0.35">
      <c r="B36" s="83" t="s">
        <v>661</v>
      </c>
      <c r="C36" s="54"/>
      <c r="D36" s="54"/>
    </row>
    <row r="37" spans="1:9" s="50" customFormat="1" x14ac:dyDescent="0.35">
      <c r="B37" s="83" t="s">
        <v>664</v>
      </c>
      <c r="C37" s="54"/>
      <c r="D37" s="54"/>
    </row>
    <row r="38" spans="1:9" s="50" customFormat="1" x14ac:dyDescent="0.35">
      <c r="A38" s="288"/>
      <c r="B38" s="83" t="s">
        <v>688</v>
      </c>
      <c r="C38" s="54"/>
      <c r="D38" s="54"/>
    </row>
    <row r="39" spans="1:9" s="50" customFormat="1" x14ac:dyDescent="0.35">
      <c r="B39" s="83"/>
      <c r="C39" s="54"/>
      <c r="D39" s="54"/>
    </row>
    <row r="40" spans="1:9" s="97" customFormat="1" ht="18.5" x14ac:dyDescent="0.45">
      <c r="A40" s="93" t="s">
        <v>130</v>
      </c>
      <c r="B40" s="95" t="s">
        <v>666</v>
      </c>
      <c r="C40" s="96"/>
      <c r="D40" s="95"/>
    </row>
    <row r="41" spans="1:9" s="50" customFormat="1" x14ac:dyDescent="0.35">
      <c r="B41" s="54"/>
      <c r="C41" s="54"/>
      <c r="D41" s="54"/>
    </row>
    <row r="42" spans="1:9" s="94" customFormat="1" x14ac:dyDescent="0.35">
      <c r="A42" s="289" t="s">
        <v>130</v>
      </c>
      <c r="B42" s="201" t="s">
        <v>669</v>
      </c>
      <c r="C42" s="201"/>
      <c r="D42" s="201"/>
    </row>
    <row r="43" spans="1:9" s="2" customFormat="1" x14ac:dyDescent="0.35">
      <c r="B43" s="149" t="s">
        <v>107</v>
      </c>
      <c r="C43" s="151" t="s">
        <v>108</v>
      </c>
      <c r="D43" s="152" t="s">
        <v>113</v>
      </c>
    </row>
    <row r="44" spans="1:9" s="13" customFormat="1" x14ac:dyDescent="0.35">
      <c r="B44" s="153" t="s">
        <v>110</v>
      </c>
      <c r="C44" s="21">
        <v>2</v>
      </c>
      <c r="D44" s="290">
        <v>10.25</v>
      </c>
      <c r="F44" s="2"/>
      <c r="G44" s="2"/>
      <c r="H44" s="2"/>
      <c r="I44" s="2"/>
    </row>
    <row r="45" spans="1:9" x14ac:dyDescent="0.35">
      <c r="B45" s="153" t="s">
        <v>109</v>
      </c>
      <c r="C45" s="21">
        <v>16</v>
      </c>
      <c r="D45" s="290">
        <v>0.25</v>
      </c>
      <c r="E45" s="13"/>
    </row>
    <row r="46" spans="1:9" x14ac:dyDescent="0.35">
      <c r="B46" s="153" t="s">
        <v>111</v>
      </c>
      <c r="C46" s="21">
        <v>1</v>
      </c>
      <c r="D46" s="290">
        <v>8.9499999999999993</v>
      </c>
      <c r="E46" s="13"/>
      <c r="F46" s="15"/>
      <c r="G46" s="15"/>
      <c r="H46" s="13"/>
    </row>
    <row r="47" spans="1:9" x14ac:dyDescent="0.35">
      <c r="B47" s="156" t="s">
        <v>112</v>
      </c>
      <c r="C47" s="158">
        <v>4</v>
      </c>
      <c r="D47" s="291">
        <v>0.79</v>
      </c>
      <c r="E47" s="13"/>
      <c r="F47" s="13"/>
      <c r="G47" s="13"/>
      <c r="H47" s="13"/>
    </row>
    <row r="48" spans="1:9" x14ac:dyDescent="0.35">
      <c r="B48" s="21"/>
      <c r="C48" s="21"/>
      <c r="D48" s="190"/>
      <c r="E48" s="13"/>
      <c r="F48" s="13"/>
      <c r="G48" s="13"/>
      <c r="H48" s="13"/>
    </row>
    <row r="49" spans="1:9" s="94" customFormat="1" x14ac:dyDescent="0.35">
      <c r="A49" s="289" t="s">
        <v>130</v>
      </c>
      <c r="B49" s="201" t="s">
        <v>679</v>
      </c>
      <c r="C49" s="201"/>
      <c r="D49" s="201"/>
      <c r="E49" s="201"/>
      <c r="F49" s="201"/>
    </row>
    <row r="50" spans="1:9" s="2" customFormat="1" x14ac:dyDescent="0.35">
      <c r="B50" s="292" t="s">
        <v>670</v>
      </c>
      <c r="C50" s="259" t="s">
        <v>622</v>
      </c>
      <c r="D50" s="304" t="s">
        <v>623</v>
      </c>
      <c r="E50" s="305"/>
      <c r="F50" s="306"/>
    </row>
    <row r="51" spans="1:9" s="13" customFormat="1" x14ac:dyDescent="0.35">
      <c r="B51" s="293" t="s">
        <v>671</v>
      </c>
      <c r="C51" s="302" cm="1">
        <f t="array" ref="C51">SUM($C$44:$C$47*$D$44:$D$47)</f>
        <v>36.61</v>
      </c>
      <c r="D51" s="307" t="s">
        <v>673</v>
      </c>
      <c r="F51" s="308"/>
    </row>
    <row r="52" spans="1:9" x14ac:dyDescent="0.35">
      <c r="B52" s="294" t="s">
        <v>672</v>
      </c>
      <c r="C52" s="303">
        <f t="array" ref="C52">SUM($C$44:$C$47*$D$44:$D$47)</f>
        <v>36.61</v>
      </c>
      <c r="D52" s="309" t="s">
        <v>674</v>
      </c>
      <c r="E52" s="310"/>
      <c r="F52" s="143"/>
      <c r="G52"/>
      <c r="H52"/>
      <c r="I52"/>
    </row>
    <row r="53" spans="1:9" x14ac:dyDescent="0.35">
      <c r="B53"/>
      <c r="C53"/>
      <c r="D53"/>
      <c r="E53" s="13"/>
      <c r="F53" s="13"/>
      <c r="H53" s="13"/>
    </row>
    <row r="54" spans="1:9" s="97" customFormat="1" ht="18.5" x14ac:dyDescent="0.45">
      <c r="A54" s="93" t="s">
        <v>130</v>
      </c>
      <c r="B54" s="95" t="s">
        <v>675</v>
      </c>
      <c r="C54" s="96"/>
      <c r="D54" s="95"/>
    </row>
    <row r="55" spans="1:9" s="50" customFormat="1" x14ac:dyDescent="0.35">
      <c r="B55" s="54"/>
      <c r="C55" s="54"/>
      <c r="D55" s="54"/>
    </row>
    <row r="56" spans="1:9" s="94" customFormat="1" x14ac:dyDescent="0.35">
      <c r="A56" s="289" t="s">
        <v>130</v>
      </c>
      <c r="B56" s="201" t="s">
        <v>676</v>
      </c>
      <c r="C56" s="201"/>
      <c r="D56" s="201"/>
      <c r="F56" s="94" t="s">
        <v>505</v>
      </c>
    </row>
    <row r="57" spans="1:9" x14ac:dyDescent="0.35">
      <c r="B57" s="149" t="s">
        <v>120</v>
      </c>
      <c r="C57" s="151" t="s">
        <v>178</v>
      </c>
      <c r="D57" s="152" t="s">
        <v>114</v>
      </c>
      <c r="E57"/>
      <c r="F57" s="31" t="s">
        <v>677</v>
      </c>
      <c r="H57"/>
      <c r="I57"/>
    </row>
    <row r="58" spans="1:9" x14ac:dyDescent="0.35">
      <c r="B58" s="153" t="s">
        <v>115</v>
      </c>
      <c r="C58" s="21" t="s">
        <v>116</v>
      </c>
      <c r="D58" s="254">
        <v>2</v>
      </c>
      <c r="F58" s="30" t="s">
        <v>115</v>
      </c>
      <c r="H58"/>
      <c r="I58"/>
    </row>
    <row r="59" spans="1:9" x14ac:dyDescent="0.35">
      <c r="B59" s="153" t="s">
        <v>115</v>
      </c>
      <c r="C59" s="21" t="s">
        <v>117</v>
      </c>
      <c r="D59" s="254">
        <v>3</v>
      </c>
      <c r="F59"/>
      <c r="G59"/>
    </row>
    <row r="60" spans="1:9" x14ac:dyDescent="0.35">
      <c r="B60" s="153" t="s">
        <v>118</v>
      </c>
      <c r="C60" s="21" t="s">
        <v>117</v>
      </c>
      <c r="D60" s="254">
        <v>1</v>
      </c>
      <c r="F60" s="300" t="s">
        <v>678</v>
      </c>
    </row>
    <row r="61" spans="1:9" x14ac:dyDescent="0.35">
      <c r="B61" s="153" t="s">
        <v>119</v>
      </c>
      <c r="C61" s="21" t="s">
        <v>121</v>
      </c>
      <c r="D61" s="254">
        <v>6</v>
      </c>
      <c r="F61" s="301" t="s">
        <v>117</v>
      </c>
    </row>
    <row r="62" spans="1:9" x14ac:dyDescent="0.35">
      <c r="B62" s="153" t="s">
        <v>118</v>
      </c>
      <c r="C62" s="21" t="s">
        <v>121</v>
      </c>
      <c r="D62" s="254">
        <v>2</v>
      </c>
    </row>
    <row r="63" spans="1:9" x14ac:dyDescent="0.35">
      <c r="B63" s="156" t="s">
        <v>115</v>
      </c>
      <c r="C63" s="158" t="s">
        <v>117</v>
      </c>
      <c r="D63" s="255">
        <v>4</v>
      </c>
    </row>
    <row r="65" spans="1:9" s="94" customFormat="1" x14ac:dyDescent="0.35">
      <c r="A65" s="289" t="s">
        <v>130</v>
      </c>
      <c r="B65" s="201" t="s">
        <v>679</v>
      </c>
      <c r="C65" s="201"/>
      <c r="D65" s="201"/>
      <c r="E65" s="201"/>
      <c r="F65" s="201"/>
      <c r="G65" s="201"/>
    </row>
    <row r="66" spans="1:9" s="2" customFormat="1" x14ac:dyDescent="0.35">
      <c r="B66" s="292" t="s">
        <v>670</v>
      </c>
      <c r="C66" s="312" t="s">
        <v>622</v>
      </c>
      <c r="D66" s="185" t="s">
        <v>623</v>
      </c>
      <c r="E66" s="311"/>
      <c r="F66" s="311"/>
      <c r="G66" s="295"/>
    </row>
    <row r="67" spans="1:9" s="13" customFormat="1" x14ac:dyDescent="0.35">
      <c r="B67" s="293" t="s">
        <v>684</v>
      </c>
      <c r="C67" s="313" cm="1">
        <f t="array" ref="C67">SUM(($B$58:$B$63=F$58)*($C$58:$C$63=F$61)*($D$58:$D$63))</f>
        <v>7</v>
      </c>
      <c r="D67" s="296" t="s">
        <v>680</v>
      </c>
      <c r="G67" s="297"/>
    </row>
    <row r="68" spans="1:9" x14ac:dyDescent="0.35">
      <c r="B68" s="294" t="s">
        <v>685</v>
      </c>
      <c r="C68" s="314">
        <f t="array" ref="C68">SUM(($B$58:$B$63=F$58)*($C$58:$C$63=F$61)*($D$58:$D$63))</f>
        <v>7</v>
      </c>
      <c r="D68" s="188" t="s">
        <v>681</v>
      </c>
      <c r="E68" s="189"/>
      <c r="F68" s="157"/>
      <c r="G68" s="175"/>
      <c r="H68"/>
      <c r="I68"/>
    </row>
    <row r="69" spans="1:9" x14ac:dyDescent="0.35">
      <c r="B69"/>
      <c r="C69"/>
      <c r="D69"/>
      <c r="E69" s="13"/>
      <c r="F69" s="13"/>
      <c r="H69" s="13"/>
    </row>
    <row r="70" spans="1:9" s="97" customFormat="1" ht="18.5" x14ac:dyDescent="0.45">
      <c r="A70" s="93" t="s">
        <v>130</v>
      </c>
      <c r="B70" s="95" t="s">
        <v>682</v>
      </c>
      <c r="C70" s="96"/>
      <c r="D70" s="95"/>
    </row>
    <row r="71" spans="1:9" s="50" customFormat="1" x14ac:dyDescent="0.35">
      <c r="B71" s="54"/>
      <c r="C71" s="54"/>
      <c r="D71" s="54"/>
    </row>
    <row r="72" spans="1:9" s="94" customFormat="1" x14ac:dyDescent="0.35">
      <c r="A72" s="289" t="s">
        <v>130</v>
      </c>
      <c r="B72" s="201" t="s">
        <v>676</v>
      </c>
      <c r="C72" s="201"/>
      <c r="D72" s="201"/>
      <c r="F72" s="264" t="s">
        <v>505</v>
      </c>
    </row>
    <row r="73" spans="1:9" x14ac:dyDescent="0.35">
      <c r="B73" s="149" t="s">
        <v>120</v>
      </c>
      <c r="C73" s="151" t="s">
        <v>178</v>
      </c>
      <c r="D73" s="152" t="s">
        <v>114</v>
      </c>
      <c r="E73"/>
      <c r="F73" s="31" t="s">
        <v>677</v>
      </c>
      <c r="H73"/>
      <c r="I73"/>
    </row>
    <row r="74" spans="1:9" x14ac:dyDescent="0.35">
      <c r="B74" s="153" t="s">
        <v>115</v>
      </c>
      <c r="C74" s="21" t="s">
        <v>116</v>
      </c>
      <c r="D74" s="254">
        <v>2</v>
      </c>
      <c r="F74" s="30" t="s">
        <v>115</v>
      </c>
      <c r="H74"/>
      <c r="I74"/>
    </row>
    <row r="75" spans="1:9" x14ac:dyDescent="0.35">
      <c r="B75" s="153" t="s">
        <v>115</v>
      </c>
      <c r="C75" s="21" t="s">
        <v>117</v>
      </c>
      <c r="D75" s="254">
        <v>3</v>
      </c>
      <c r="F75"/>
      <c r="G75"/>
    </row>
    <row r="76" spans="1:9" x14ac:dyDescent="0.35">
      <c r="B76" s="153" t="s">
        <v>118</v>
      </c>
      <c r="C76" s="21" t="s">
        <v>117</v>
      </c>
      <c r="D76" s="254">
        <v>1</v>
      </c>
      <c r="F76" s="300" t="s">
        <v>683</v>
      </c>
    </row>
    <row r="77" spans="1:9" x14ac:dyDescent="0.35">
      <c r="B77" s="153" t="s">
        <v>119</v>
      </c>
      <c r="C77" s="21" t="s">
        <v>121</v>
      </c>
      <c r="D77" s="254">
        <v>6</v>
      </c>
      <c r="F77" s="301" t="s">
        <v>118</v>
      </c>
    </row>
    <row r="78" spans="1:9" x14ac:dyDescent="0.35">
      <c r="B78" s="153" t="s">
        <v>118</v>
      </c>
      <c r="C78" s="21" t="s">
        <v>121</v>
      </c>
      <c r="D78" s="254">
        <v>2</v>
      </c>
    </row>
    <row r="79" spans="1:9" x14ac:dyDescent="0.35">
      <c r="B79" s="156" t="s">
        <v>115</v>
      </c>
      <c r="C79" s="158" t="s">
        <v>117</v>
      </c>
      <c r="D79" s="255">
        <v>4</v>
      </c>
    </row>
    <row r="81" spans="1:9" s="94" customFormat="1" x14ac:dyDescent="0.35">
      <c r="A81" s="289" t="s">
        <v>130</v>
      </c>
      <c r="B81" s="201" t="s">
        <v>679</v>
      </c>
      <c r="C81" s="201"/>
      <c r="D81" s="201"/>
      <c r="E81" s="201"/>
      <c r="F81" s="201"/>
      <c r="G81" s="201"/>
    </row>
    <row r="82" spans="1:9" s="2" customFormat="1" x14ac:dyDescent="0.35">
      <c r="B82" s="292" t="s">
        <v>670</v>
      </c>
      <c r="C82" s="312" t="s">
        <v>622</v>
      </c>
      <c r="D82" s="185" t="s">
        <v>623</v>
      </c>
      <c r="E82" s="311"/>
      <c r="F82" s="311"/>
      <c r="G82" s="295"/>
    </row>
    <row r="83" spans="1:9" s="13" customFormat="1" x14ac:dyDescent="0.35">
      <c r="B83" s="293" t="s">
        <v>686</v>
      </c>
      <c r="C83" s="313" cm="1">
        <f t="array" ref="C83">SUM((($B$74:$B$79=F$74)+($B$74:$B$79=F$77))*($D$74:$D$79))</f>
        <v>12</v>
      </c>
      <c r="D83" s="296" t="s">
        <v>821</v>
      </c>
      <c r="G83" s="297"/>
    </row>
    <row r="84" spans="1:9" x14ac:dyDescent="0.35">
      <c r="B84" s="294" t="s">
        <v>687</v>
      </c>
      <c r="C84" s="314">
        <f t="array" ref="C84">SUM((($B$74:$B$79=F$74)+($B$74:$B$79=F$77))*($D$74:$D$79))</f>
        <v>12</v>
      </c>
      <c r="D84" s="188" t="s">
        <v>822</v>
      </c>
      <c r="E84" s="189"/>
      <c r="F84" s="157"/>
      <c r="G84" s="175"/>
      <c r="H84"/>
      <c r="I84"/>
    </row>
    <row r="85" spans="1:9" x14ac:dyDescent="0.35">
      <c r="B85"/>
      <c r="C85"/>
      <c r="D85"/>
      <c r="E85" s="13"/>
      <c r="F85" s="13"/>
      <c r="H85" s="13"/>
    </row>
  </sheetData>
  <conditionalFormatting sqref="B58:B63">
    <cfRule type="expression" dxfId="5" priority="5">
      <formula>B58=$F$58</formula>
    </cfRule>
  </conditionalFormatting>
  <conditionalFormatting sqref="B74:B79">
    <cfRule type="expression" dxfId="4" priority="1">
      <formula>B74=$F$77</formula>
    </cfRule>
    <cfRule type="expression" dxfId="3" priority="2">
      <formula>B74=$F$74</formula>
    </cfRule>
  </conditionalFormatting>
  <conditionalFormatting sqref="C58:C63">
    <cfRule type="expression" dxfId="2" priority="4">
      <formula>C58=$F$61</formula>
    </cfRule>
  </conditionalFormatting>
  <hyperlinks>
    <hyperlink ref="B1" location="Menu!A1" display="Main Menu" xr:uid="{8D36774C-15BA-422A-B243-958EB90431B1}"/>
    <hyperlink ref="C1" location="'C4 Exercise'!A1" display="              Exercise              " xr:uid="{975E00C5-CCD2-4618-A06A-C0FE05E947F2}"/>
    <hyperlink ref="E1" location="'2_1 Exercise'!A1" display="                                                       " xr:uid="{57C7E8FB-051E-480C-A97F-C9D322255836}"/>
    <hyperlink ref="D1" location="'2_1 Exercise'!A1" display="                " xr:uid="{93E659D4-CBF3-4EE2-BE4A-BED3BC4C237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rgb="FF002060"/>
  </sheetPr>
  <dimension ref="A1:J43"/>
  <sheetViews>
    <sheetView workbookViewId="0"/>
  </sheetViews>
  <sheetFormatPr defaultColWidth="11.453125" defaultRowHeight="14.5" x14ac:dyDescent="0.35"/>
  <cols>
    <col min="1" max="1" width="5.6328125" customWidth="1"/>
    <col min="2" max="4" width="23.453125" customWidth="1"/>
    <col min="5" max="5" width="3" customWidth="1"/>
    <col min="6" max="9" width="23.453125" customWidth="1"/>
  </cols>
  <sheetData>
    <row r="1" spans="1:5" s="50" customFormat="1" ht="18.5" x14ac:dyDescent="0.35">
      <c r="A1" s="87" t="s">
        <v>130</v>
      </c>
      <c r="B1" s="80" t="s">
        <v>243</v>
      </c>
      <c r="C1" s="80" t="s">
        <v>359</v>
      </c>
      <c r="D1" s="50" t="s">
        <v>582</v>
      </c>
      <c r="E1" s="50" t="s">
        <v>581</v>
      </c>
    </row>
    <row r="2" spans="1:5" s="50" customFormat="1" x14ac:dyDescent="0.35">
      <c r="E2" s="83"/>
    </row>
    <row r="3" spans="1:5" s="107" customFormat="1" ht="18.5" x14ac:dyDescent="0.45">
      <c r="A3" s="104" t="s">
        <v>130</v>
      </c>
      <c r="B3" s="105" t="s">
        <v>689</v>
      </c>
      <c r="C3" s="106"/>
    </row>
    <row r="4" spans="1:5" s="50" customFormat="1" x14ac:dyDescent="0.35">
      <c r="B4" s="50" t="s">
        <v>690</v>
      </c>
      <c r="E4" s="83"/>
    </row>
    <row r="5" spans="1:5" s="50" customFormat="1" x14ac:dyDescent="0.35">
      <c r="B5" s="50" t="s">
        <v>691</v>
      </c>
      <c r="E5" s="83"/>
    </row>
    <row r="6" spans="1:5" s="50" customFormat="1" x14ac:dyDescent="0.35">
      <c r="B6" s="50" t="s">
        <v>692</v>
      </c>
      <c r="E6" s="83"/>
    </row>
    <row r="7" spans="1:5" s="50" customFormat="1" x14ac:dyDescent="0.35">
      <c r="B7" s="50" t="s">
        <v>702</v>
      </c>
      <c r="E7" s="83"/>
    </row>
    <row r="8" spans="1:5" s="50" customFormat="1" x14ac:dyDescent="0.35">
      <c r="E8" s="83"/>
    </row>
    <row r="9" spans="1:5" s="50" customFormat="1" x14ac:dyDescent="0.35">
      <c r="B9" s="50" t="s">
        <v>697</v>
      </c>
      <c r="E9" s="83"/>
    </row>
    <row r="10" spans="1:5" s="50" customFormat="1" x14ac:dyDescent="0.35">
      <c r="B10" s="50" t="s">
        <v>693</v>
      </c>
      <c r="E10" s="83"/>
    </row>
    <row r="11" spans="1:5" s="50" customFormat="1" x14ac:dyDescent="0.35">
      <c r="E11" s="83"/>
    </row>
    <row r="12" spans="1:5" s="50" customFormat="1" x14ac:dyDescent="0.35">
      <c r="B12" s="50" t="s">
        <v>700</v>
      </c>
      <c r="E12" s="83"/>
    </row>
    <row r="13" spans="1:5" s="50" customFormat="1" x14ac:dyDescent="0.35">
      <c r="B13" s="50" t="s">
        <v>703</v>
      </c>
      <c r="E13" s="83"/>
    </row>
    <row r="14" spans="1:5" s="50" customFormat="1" x14ac:dyDescent="0.35">
      <c r="E14" s="83"/>
    </row>
    <row r="15" spans="1:5" s="50" customFormat="1" x14ac:dyDescent="0.35">
      <c r="B15" s="50" t="s">
        <v>704</v>
      </c>
      <c r="E15" s="83"/>
    </row>
    <row r="16" spans="1:5" s="50" customFormat="1" x14ac:dyDescent="0.35">
      <c r="E16" s="83"/>
    </row>
    <row r="17" spans="1:10" s="96" customFormat="1" ht="18.5" x14ac:dyDescent="0.45">
      <c r="A17" s="117" t="s">
        <v>130</v>
      </c>
      <c r="B17" s="41" t="s">
        <v>694</v>
      </c>
      <c r="C17" s="41"/>
      <c r="D17" s="41"/>
      <c r="F17" s="41" t="s">
        <v>695</v>
      </c>
      <c r="G17" s="41"/>
      <c r="H17" s="41"/>
    </row>
    <row r="18" spans="1:10" x14ac:dyDescent="0.35">
      <c r="B18" s="149" t="s">
        <v>696</v>
      </c>
      <c r="C18" s="151" t="s">
        <v>76</v>
      </c>
      <c r="D18" s="152" t="s">
        <v>122</v>
      </c>
      <c r="F18" s="315" t="s">
        <v>76</v>
      </c>
      <c r="G18" s="316" t="s">
        <v>699</v>
      </c>
      <c r="H18" s="317" t="s">
        <v>698</v>
      </c>
    </row>
    <row r="19" spans="1:10" x14ac:dyDescent="0.35">
      <c r="B19" s="153" t="s">
        <v>124</v>
      </c>
      <c r="C19" s="21" t="s">
        <v>82</v>
      </c>
      <c r="D19" s="254">
        <v>46</v>
      </c>
      <c r="F19" s="318" t="s">
        <v>82</v>
      </c>
      <c r="G19" s="319">
        <v>1</v>
      </c>
      <c r="H19" s="321"/>
      <c r="J19" s="17"/>
    </row>
    <row r="20" spans="1:10" x14ac:dyDescent="0.35">
      <c r="B20" s="153"/>
      <c r="C20" s="21" t="s">
        <v>123</v>
      </c>
      <c r="D20" s="254">
        <v>23</v>
      </c>
      <c r="F20" s="1"/>
      <c r="G20" s="2"/>
    </row>
    <row r="21" spans="1:10" x14ac:dyDescent="0.35">
      <c r="B21" s="153"/>
      <c r="C21" s="21" t="s">
        <v>81</v>
      </c>
      <c r="D21" s="254">
        <v>2</v>
      </c>
      <c r="H21" s="320"/>
    </row>
    <row r="22" spans="1:10" x14ac:dyDescent="0.35">
      <c r="B22" s="153"/>
      <c r="C22" s="21" t="s">
        <v>78</v>
      </c>
      <c r="D22" s="254">
        <v>42</v>
      </c>
    </row>
    <row r="23" spans="1:10" x14ac:dyDescent="0.35">
      <c r="B23" s="153"/>
      <c r="C23" s="21" t="s">
        <v>129</v>
      </c>
      <c r="D23" s="254">
        <v>0</v>
      </c>
    </row>
    <row r="24" spans="1:10" x14ac:dyDescent="0.35">
      <c r="B24" s="153" t="s">
        <v>125</v>
      </c>
      <c r="C24" s="21" t="s">
        <v>82</v>
      </c>
      <c r="D24" s="254">
        <v>18</v>
      </c>
    </row>
    <row r="25" spans="1:10" x14ac:dyDescent="0.35">
      <c r="B25" s="153"/>
      <c r="C25" s="21" t="s">
        <v>123</v>
      </c>
      <c r="D25" s="254">
        <v>25</v>
      </c>
    </row>
    <row r="26" spans="1:10" x14ac:dyDescent="0.35">
      <c r="B26" s="153"/>
      <c r="C26" s="21" t="s">
        <v>81</v>
      </c>
      <c r="D26" s="254">
        <v>5</v>
      </c>
    </row>
    <row r="27" spans="1:10" x14ac:dyDescent="0.35">
      <c r="B27" s="153"/>
      <c r="C27" s="21" t="s">
        <v>78</v>
      </c>
      <c r="D27" s="254">
        <v>16</v>
      </c>
    </row>
    <row r="28" spans="1:10" x14ac:dyDescent="0.35">
      <c r="B28" s="153"/>
      <c r="C28" s="21" t="s">
        <v>129</v>
      </c>
      <c r="D28" s="254">
        <v>0</v>
      </c>
    </row>
    <row r="29" spans="1:10" x14ac:dyDescent="0.35">
      <c r="B29" s="153" t="s">
        <v>126</v>
      </c>
      <c r="C29" s="21" t="s">
        <v>82</v>
      </c>
      <c r="D29" s="254">
        <v>55</v>
      </c>
    </row>
    <row r="30" spans="1:10" x14ac:dyDescent="0.35">
      <c r="B30" s="153"/>
      <c r="C30" s="21" t="s">
        <v>123</v>
      </c>
      <c r="D30" s="254">
        <v>120</v>
      </c>
    </row>
    <row r="31" spans="1:10" x14ac:dyDescent="0.35">
      <c r="B31" s="153"/>
      <c r="C31" s="21" t="s">
        <v>81</v>
      </c>
      <c r="D31" s="254">
        <v>8</v>
      </c>
    </row>
    <row r="32" spans="1:10" x14ac:dyDescent="0.35">
      <c r="B32" s="153"/>
      <c r="C32" s="21" t="s">
        <v>78</v>
      </c>
      <c r="D32" s="254">
        <v>44</v>
      </c>
    </row>
    <row r="33" spans="2:8" x14ac:dyDescent="0.35">
      <c r="B33" s="153"/>
      <c r="C33" s="21" t="s">
        <v>129</v>
      </c>
      <c r="D33" s="254">
        <v>5</v>
      </c>
    </row>
    <row r="34" spans="2:8" x14ac:dyDescent="0.35">
      <c r="B34" s="153" t="s">
        <v>127</v>
      </c>
      <c r="C34" s="21" t="s">
        <v>82</v>
      </c>
      <c r="D34" s="254">
        <v>0</v>
      </c>
    </row>
    <row r="35" spans="2:8" x14ac:dyDescent="0.35">
      <c r="B35" s="153"/>
      <c r="C35" s="21" t="s">
        <v>123</v>
      </c>
      <c r="D35" s="254">
        <v>56</v>
      </c>
    </row>
    <row r="36" spans="2:8" x14ac:dyDescent="0.35">
      <c r="B36" s="153"/>
      <c r="C36" s="21" t="s">
        <v>81</v>
      </c>
      <c r="D36" s="254">
        <v>0</v>
      </c>
    </row>
    <row r="37" spans="2:8" x14ac:dyDescent="0.35">
      <c r="B37" s="153"/>
      <c r="C37" s="21" t="s">
        <v>78</v>
      </c>
      <c r="D37" s="254">
        <v>0</v>
      </c>
    </row>
    <row r="38" spans="2:8" x14ac:dyDescent="0.35">
      <c r="B38" s="153"/>
      <c r="C38" s="21" t="s">
        <v>129</v>
      </c>
      <c r="D38" s="254">
        <v>0</v>
      </c>
    </row>
    <row r="39" spans="2:8" x14ac:dyDescent="0.35">
      <c r="B39" s="153" t="s">
        <v>128</v>
      </c>
      <c r="C39" s="21" t="s">
        <v>82</v>
      </c>
      <c r="D39" s="254">
        <v>20</v>
      </c>
    </row>
    <row r="40" spans="2:8" x14ac:dyDescent="0.35">
      <c r="B40" s="153"/>
      <c r="C40" s="21" t="s">
        <v>123</v>
      </c>
      <c r="D40" s="254">
        <v>86</v>
      </c>
    </row>
    <row r="41" spans="2:8" x14ac:dyDescent="0.35">
      <c r="B41" s="153"/>
      <c r="C41" s="21" t="s">
        <v>81</v>
      </c>
      <c r="D41" s="254">
        <v>4</v>
      </c>
    </row>
    <row r="42" spans="2:8" x14ac:dyDescent="0.35">
      <c r="B42" s="153"/>
      <c r="C42" s="21" t="s">
        <v>78</v>
      </c>
      <c r="D42" s="254">
        <v>18</v>
      </c>
    </row>
    <row r="43" spans="2:8" x14ac:dyDescent="0.35">
      <c r="B43" s="156"/>
      <c r="C43" s="158" t="s">
        <v>129</v>
      </c>
      <c r="D43" s="255">
        <v>4</v>
      </c>
      <c r="H43" s="322" t="s">
        <v>701</v>
      </c>
    </row>
  </sheetData>
  <conditionalFormatting sqref="C19:C43">
    <cfRule type="expression" dxfId="1" priority="2">
      <formula>C19=$F$19</formula>
    </cfRule>
  </conditionalFormatting>
  <conditionalFormatting sqref="D19:D43">
    <cfRule type="expression" dxfId="0" priority="1">
      <formula>C19=$F$19</formula>
    </cfRule>
  </conditionalFormatting>
  <hyperlinks>
    <hyperlink ref="B1" location="Menu!A1" display="Main Menu" xr:uid="{D7E1F647-398E-4023-81FD-B99094E08217}"/>
    <hyperlink ref="C1" location="'C4 Instructions'!A1" display="Instructions" xr:uid="{A6145DA5-9AA8-4D68-900D-1715242DCC01}"/>
    <hyperlink ref="E1" location="'2_1 Exercise'!A1" display="                                                       " xr:uid="{FCE3E335-3CFF-4B4A-89B4-C5C7F585D1CF}"/>
    <hyperlink ref="D1" location="'2_1 Exercise'!A1" display="                " xr:uid="{A0098D3A-0956-422C-90C9-EE4628312AA3}"/>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7030A0"/>
  </sheetPr>
  <dimension ref="A1:M97"/>
  <sheetViews>
    <sheetView workbookViewId="0">
      <selection activeCell="L6" sqref="L6"/>
    </sheetView>
  </sheetViews>
  <sheetFormatPr defaultColWidth="9.08984375" defaultRowHeight="14.5" x14ac:dyDescent="0.35"/>
  <cols>
    <col min="1" max="1" width="5" style="21" customWidth="1"/>
    <col min="2" max="2" width="4.54296875" style="21" customWidth="1"/>
    <col min="3" max="3" width="5.453125" style="21" customWidth="1"/>
    <col min="4" max="4" width="25.08984375" style="21" customWidth="1"/>
    <col min="5" max="10" width="9" style="21" customWidth="1"/>
    <col min="12" max="12" width="22.90625" customWidth="1"/>
    <col min="13" max="13" width="17.08984375" bestFit="1" customWidth="1"/>
  </cols>
  <sheetData>
    <row r="1" spans="1:13" s="23" customFormat="1" ht="119.25" customHeight="1" thickTop="1" thickBot="1" x14ac:dyDescent="0.4">
      <c r="A1" s="24" t="s">
        <v>153</v>
      </c>
      <c r="B1" s="24" t="s">
        <v>146</v>
      </c>
      <c r="C1" s="24" t="s">
        <v>1</v>
      </c>
      <c r="D1" s="24" t="s">
        <v>154</v>
      </c>
      <c r="E1" s="24" t="s">
        <v>262</v>
      </c>
      <c r="F1" s="24" t="s">
        <v>263</v>
      </c>
      <c r="G1" s="24" t="s">
        <v>264</v>
      </c>
      <c r="H1" s="24" t="s">
        <v>265</v>
      </c>
      <c r="I1" s="24" t="s">
        <v>266</v>
      </c>
      <c r="J1" s="24" t="s">
        <v>267</v>
      </c>
    </row>
    <row r="2" spans="1:13" ht="19" thickTop="1" x14ac:dyDescent="0.35">
      <c r="A2" s="25">
        <v>12</v>
      </c>
      <c r="B2" s="25">
        <v>1</v>
      </c>
      <c r="C2" s="25">
        <v>1</v>
      </c>
      <c r="D2" s="25" t="s">
        <v>268</v>
      </c>
      <c r="E2" s="25">
        <v>6523</v>
      </c>
      <c r="F2" s="25">
        <v>1030</v>
      </c>
      <c r="G2" s="25">
        <v>3840</v>
      </c>
      <c r="H2" s="25">
        <v>1580</v>
      </c>
      <c r="I2" s="25">
        <v>2535</v>
      </c>
      <c r="J2" s="25">
        <v>485</v>
      </c>
      <c r="L2" s="80" t="s">
        <v>243</v>
      </c>
    </row>
    <row r="3" spans="1:13" x14ac:dyDescent="0.35">
      <c r="A3" s="26">
        <v>12</v>
      </c>
      <c r="B3" s="26">
        <v>1</v>
      </c>
      <c r="C3" s="26">
        <v>4</v>
      </c>
      <c r="D3" s="26" t="s">
        <v>269</v>
      </c>
      <c r="E3" s="26">
        <v>725</v>
      </c>
      <c r="F3" s="26">
        <v>130</v>
      </c>
      <c r="G3" s="26">
        <v>445</v>
      </c>
      <c r="H3" s="26">
        <v>150</v>
      </c>
      <c r="I3" s="26">
        <v>280</v>
      </c>
      <c r="J3" s="26">
        <v>80</v>
      </c>
    </row>
    <row r="4" spans="1:13" ht="18.5" x14ac:dyDescent="0.35">
      <c r="A4" s="26">
        <v>12</v>
      </c>
      <c r="B4" s="26">
        <v>1</v>
      </c>
      <c r="C4" s="26">
        <v>6</v>
      </c>
      <c r="D4" s="26" t="s">
        <v>270</v>
      </c>
      <c r="E4" s="26">
        <v>4336</v>
      </c>
      <c r="F4" s="26">
        <v>630</v>
      </c>
      <c r="G4" s="26">
        <v>2440</v>
      </c>
      <c r="H4" s="26">
        <v>1195</v>
      </c>
      <c r="I4" s="26">
        <v>1725</v>
      </c>
      <c r="J4" s="26">
        <v>340</v>
      </c>
      <c r="L4" s="80" t="s">
        <v>1255</v>
      </c>
      <c r="M4" t="s">
        <v>844</v>
      </c>
    </row>
    <row r="5" spans="1:13" ht="18.5" x14ac:dyDescent="0.35">
      <c r="A5" s="26">
        <v>12</v>
      </c>
      <c r="B5" s="26">
        <v>1</v>
      </c>
      <c r="C5" s="26">
        <v>8</v>
      </c>
      <c r="D5" s="26" t="s">
        <v>270</v>
      </c>
      <c r="E5" s="26">
        <v>1644</v>
      </c>
      <c r="F5" s="26">
        <v>310</v>
      </c>
      <c r="G5" s="26">
        <v>875</v>
      </c>
      <c r="H5" s="26">
        <v>440</v>
      </c>
      <c r="I5" s="26">
        <v>525</v>
      </c>
      <c r="J5" s="26">
        <v>265</v>
      </c>
      <c r="L5" s="80" t="s">
        <v>1256</v>
      </c>
      <c r="M5" t="s">
        <v>843</v>
      </c>
    </row>
    <row r="6" spans="1:13" ht="18.5" x14ac:dyDescent="0.35">
      <c r="A6" s="26">
        <v>12</v>
      </c>
      <c r="B6" s="26">
        <v>1</v>
      </c>
      <c r="C6" s="26">
        <v>9</v>
      </c>
      <c r="D6" s="26" t="s">
        <v>271</v>
      </c>
      <c r="E6" s="26">
        <v>476</v>
      </c>
      <c r="F6" s="26">
        <v>55</v>
      </c>
      <c r="G6" s="26">
        <v>210</v>
      </c>
      <c r="H6" s="26">
        <v>175</v>
      </c>
      <c r="I6" s="26">
        <v>180</v>
      </c>
      <c r="J6" s="26">
        <v>55</v>
      </c>
      <c r="L6" s="80" t="s">
        <v>1258</v>
      </c>
      <c r="M6" t="s">
        <v>1257</v>
      </c>
    </row>
    <row r="7" spans="1:13" ht="18.5" x14ac:dyDescent="0.35">
      <c r="A7" s="26">
        <v>12</v>
      </c>
      <c r="B7" s="26">
        <v>2</v>
      </c>
      <c r="C7" s="26">
        <v>1</v>
      </c>
      <c r="D7" s="26" t="s">
        <v>272</v>
      </c>
      <c r="E7" s="26">
        <v>7870</v>
      </c>
      <c r="F7" s="26">
        <v>1230</v>
      </c>
      <c r="G7" s="26">
        <v>4520</v>
      </c>
      <c r="H7" s="26">
        <v>2040</v>
      </c>
      <c r="I7" s="26">
        <v>3155</v>
      </c>
      <c r="J7" s="26">
        <v>300</v>
      </c>
      <c r="L7" s="80" t="s">
        <v>1259</v>
      </c>
      <c r="M7" t="s">
        <v>842</v>
      </c>
    </row>
    <row r="8" spans="1:13" ht="18.5" x14ac:dyDescent="0.35">
      <c r="A8" s="26">
        <v>12</v>
      </c>
      <c r="B8" s="26">
        <v>2</v>
      </c>
      <c r="C8" s="26">
        <v>4</v>
      </c>
      <c r="D8" s="26" t="s">
        <v>273</v>
      </c>
      <c r="E8" s="26">
        <v>10067</v>
      </c>
      <c r="F8" s="26">
        <v>1680</v>
      </c>
      <c r="G8" s="26">
        <v>5775</v>
      </c>
      <c r="H8" s="26">
        <v>2490</v>
      </c>
      <c r="I8" s="26">
        <v>3865</v>
      </c>
      <c r="J8" s="26">
        <v>565</v>
      </c>
      <c r="L8" s="80" t="s">
        <v>1261</v>
      </c>
      <c r="M8" t="s">
        <v>1260</v>
      </c>
    </row>
    <row r="9" spans="1:13" x14ac:dyDescent="0.35">
      <c r="A9" s="26">
        <v>12</v>
      </c>
      <c r="B9" s="26">
        <v>2</v>
      </c>
      <c r="C9" s="26">
        <v>6</v>
      </c>
      <c r="D9" s="26" t="s">
        <v>273</v>
      </c>
      <c r="E9" s="26">
        <v>6829</v>
      </c>
      <c r="F9" s="26">
        <v>1175</v>
      </c>
      <c r="G9" s="26">
        <v>3745</v>
      </c>
      <c r="H9" s="26">
        <v>1700</v>
      </c>
      <c r="I9" s="26">
        <v>1430</v>
      </c>
      <c r="J9" s="26">
        <v>1830</v>
      </c>
    </row>
    <row r="10" spans="1:13" x14ac:dyDescent="0.35">
      <c r="A10" s="26">
        <v>12</v>
      </c>
      <c r="B10" s="26">
        <v>2</v>
      </c>
      <c r="C10" s="26">
        <v>40</v>
      </c>
      <c r="D10" s="26" t="s">
        <v>274</v>
      </c>
      <c r="E10" s="26">
        <v>181</v>
      </c>
      <c r="F10" s="26" t="s">
        <v>155</v>
      </c>
      <c r="G10" s="26" t="s">
        <v>155</v>
      </c>
      <c r="H10" s="26" t="s">
        <v>155</v>
      </c>
      <c r="I10" s="26">
        <v>0</v>
      </c>
      <c r="J10" s="26">
        <v>0</v>
      </c>
    </row>
    <row r="11" spans="1:13" x14ac:dyDescent="0.35">
      <c r="A11" s="26">
        <v>12</v>
      </c>
      <c r="B11" s="26">
        <v>3</v>
      </c>
      <c r="C11" s="26">
        <v>1</v>
      </c>
      <c r="D11" s="26" t="s">
        <v>275</v>
      </c>
      <c r="E11" s="26">
        <v>7678</v>
      </c>
      <c r="F11" s="26">
        <v>950</v>
      </c>
      <c r="G11" s="26">
        <v>4315</v>
      </c>
      <c r="H11" s="26">
        <v>2250</v>
      </c>
      <c r="I11" s="26">
        <v>3140</v>
      </c>
      <c r="J11" s="26">
        <v>475</v>
      </c>
    </row>
    <row r="12" spans="1:13" x14ac:dyDescent="0.35">
      <c r="A12" s="26">
        <v>12</v>
      </c>
      <c r="B12" s="26">
        <v>3</v>
      </c>
      <c r="C12" s="26">
        <v>4</v>
      </c>
      <c r="D12" s="26" t="s">
        <v>276</v>
      </c>
      <c r="E12" s="26">
        <v>7242</v>
      </c>
      <c r="F12" s="26">
        <v>1090</v>
      </c>
      <c r="G12" s="26">
        <v>4035</v>
      </c>
      <c r="H12" s="26">
        <v>2105</v>
      </c>
      <c r="I12" s="26">
        <v>2775</v>
      </c>
      <c r="J12" s="26">
        <v>645</v>
      </c>
    </row>
    <row r="13" spans="1:13" x14ac:dyDescent="0.35">
      <c r="A13" s="26">
        <v>12</v>
      </c>
      <c r="B13" s="26">
        <v>3</v>
      </c>
      <c r="C13" s="26">
        <v>6</v>
      </c>
      <c r="D13" s="26" t="s">
        <v>276</v>
      </c>
      <c r="E13" s="26">
        <v>2001</v>
      </c>
      <c r="F13" s="26">
        <v>280</v>
      </c>
      <c r="G13" s="26">
        <v>1030</v>
      </c>
      <c r="H13" s="26">
        <v>585</v>
      </c>
      <c r="I13" s="26">
        <v>420</v>
      </c>
      <c r="J13" s="26">
        <v>610</v>
      </c>
    </row>
    <row r="14" spans="1:13" x14ac:dyDescent="0.35">
      <c r="A14" s="26">
        <v>12</v>
      </c>
      <c r="B14" s="26">
        <v>3</v>
      </c>
      <c r="C14" s="26">
        <v>9</v>
      </c>
      <c r="D14" s="26" t="s">
        <v>277</v>
      </c>
      <c r="E14" s="26">
        <v>141</v>
      </c>
      <c r="F14" s="26" t="s">
        <v>155</v>
      </c>
      <c r="G14" s="26" t="s">
        <v>155</v>
      </c>
      <c r="H14" s="26" t="s">
        <v>155</v>
      </c>
      <c r="I14" s="26">
        <v>0</v>
      </c>
      <c r="J14" s="26">
        <v>0</v>
      </c>
    </row>
    <row r="15" spans="1:13" x14ac:dyDescent="0.35">
      <c r="A15" s="26">
        <v>12</v>
      </c>
      <c r="B15" s="26">
        <v>4</v>
      </c>
      <c r="C15" s="26">
        <v>1</v>
      </c>
      <c r="D15" s="26" t="s">
        <v>278</v>
      </c>
      <c r="E15" s="26">
        <v>15</v>
      </c>
      <c r="F15" s="26" t="s">
        <v>155</v>
      </c>
      <c r="G15" s="26" t="s">
        <v>155</v>
      </c>
      <c r="H15" s="26" t="s">
        <v>155</v>
      </c>
      <c r="I15" s="26" t="s">
        <v>155</v>
      </c>
      <c r="J15" s="26" t="s">
        <v>155</v>
      </c>
    </row>
    <row r="16" spans="1:13" x14ac:dyDescent="0.35">
      <c r="A16" s="26">
        <v>12</v>
      </c>
      <c r="B16" s="26">
        <v>4</v>
      </c>
      <c r="C16" s="26">
        <v>9</v>
      </c>
      <c r="D16" s="26" t="s">
        <v>279</v>
      </c>
      <c r="E16" s="26">
        <v>15</v>
      </c>
      <c r="F16" s="26" t="s">
        <v>155</v>
      </c>
      <c r="G16" s="26" t="s">
        <v>155</v>
      </c>
      <c r="H16" s="26" t="s">
        <v>155</v>
      </c>
      <c r="I16" s="26" t="s">
        <v>155</v>
      </c>
      <c r="J16" s="26" t="s">
        <v>155</v>
      </c>
    </row>
    <row r="17" spans="1:10" x14ac:dyDescent="0.35">
      <c r="A17" s="26">
        <v>12</v>
      </c>
      <c r="B17" s="26">
        <v>4</v>
      </c>
      <c r="C17" s="26">
        <v>10</v>
      </c>
      <c r="D17" s="26" t="s">
        <v>280</v>
      </c>
      <c r="E17" s="26">
        <v>10422</v>
      </c>
      <c r="F17" s="26">
        <v>1400</v>
      </c>
      <c r="G17" s="26">
        <v>5705</v>
      </c>
      <c r="H17" s="26">
        <v>3160</v>
      </c>
      <c r="I17" s="26">
        <v>4095</v>
      </c>
      <c r="J17" s="26">
        <v>885</v>
      </c>
    </row>
    <row r="18" spans="1:10" x14ac:dyDescent="0.35">
      <c r="A18" s="26">
        <v>12</v>
      </c>
      <c r="B18" s="26">
        <v>4</v>
      </c>
      <c r="C18" s="26">
        <v>15</v>
      </c>
      <c r="D18" s="26" t="s">
        <v>281</v>
      </c>
      <c r="E18" s="26">
        <v>49</v>
      </c>
      <c r="F18" s="26" t="s">
        <v>155</v>
      </c>
      <c r="G18" s="26" t="s">
        <v>155</v>
      </c>
      <c r="H18" s="26" t="s">
        <v>155</v>
      </c>
      <c r="I18" s="26">
        <v>0</v>
      </c>
      <c r="J18" s="26">
        <v>0</v>
      </c>
    </row>
    <row r="19" spans="1:10" x14ac:dyDescent="0.35">
      <c r="A19" s="26">
        <v>12</v>
      </c>
      <c r="B19" s="26">
        <v>5</v>
      </c>
      <c r="C19" s="26">
        <v>1</v>
      </c>
      <c r="D19" s="26" t="s">
        <v>282</v>
      </c>
      <c r="E19" s="26">
        <v>3049</v>
      </c>
      <c r="F19" s="26">
        <v>515</v>
      </c>
      <c r="G19" s="26">
        <v>1785</v>
      </c>
      <c r="H19" s="26">
        <v>745</v>
      </c>
      <c r="I19" s="26">
        <v>1205</v>
      </c>
      <c r="J19" s="26">
        <v>165</v>
      </c>
    </row>
    <row r="20" spans="1:10" x14ac:dyDescent="0.35">
      <c r="A20" s="26">
        <v>12</v>
      </c>
      <c r="B20" s="26">
        <v>5</v>
      </c>
      <c r="C20" s="26">
        <v>2</v>
      </c>
      <c r="D20" s="26" t="s">
        <v>277</v>
      </c>
      <c r="E20" s="26">
        <v>0</v>
      </c>
      <c r="F20" s="26" t="s">
        <v>155</v>
      </c>
      <c r="G20" s="26" t="s">
        <v>155</v>
      </c>
      <c r="H20" s="26" t="s">
        <v>155</v>
      </c>
      <c r="I20" s="26" t="s">
        <v>155</v>
      </c>
      <c r="J20" s="26" t="s">
        <v>155</v>
      </c>
    </row>
    <row r="21" spans="1:10" x14ac:dyDescent="0.35">
      <c r="A21" s="26">
        <v>12</v>
      </c>
      <c r="B21" s="26">
        <v>5</v>
      </c>
      <c r="C21" s="26">
        <v>4</v>
      </c>
      <c r="D21" s="26" t="s">
        <v>283</v>
      </c>
      <c r="E21" s="26">
        <v>5980</v>
      </c>
      <c r="F21" s="26">
        <v>820</v>
      </c>
      <c r="G21" s="26">
        <v>3160</v>
      </c>
      <c r="H21" s="26">
        <v>1945</v>
      </c>
      <c r="I21" s="26">
        <v>2535</v>
      </c>
      <c r="J21" s="26">
        <v>340</v>
      </c>
    </row>
    <row r="22" spans="1:10" x14ac:dyDescent="0.35">
      <c r="A22" s="26">
        <v>12</v>
      </c>
      <c r="B22" s="26">
        <v>5</v>
      </c>
      <c r="C22" s="26">
        <v>6</v>
      </c>
      <c r="D22" s="26" t="s">
        <v>284</v>
      </c>
      <c r="E22" s="26">
        <v>15</v>
      </c>
      <c r="F22" s="26" t="s">
        <v>155</v>
      </c>
      <c r="G22" s="26" t="s">
        <v>155</v>
      </c>
      <c r="H22" s="26" t="s">
        <v>155</v>
      </c>
      <c r="I22" s="26" t="s">
        <v>155</v>
      </c>
      <c r="J22" s="26" t="s">
        <v>155</v>
      </c>
    </row>
    <row r="23" spans="1:10" x14ac:dyDescent="0.35">
      <c r="A23" s="26">
        <v>12</v>
      </c>
      <c r="B23" s="26">
        <v>5</v>
      </c>
      <c r="C23" s="26">
        <v>8</v>
      </c>
      <c r="D23" s="26" t="s">
        <v>285</v>
      </c>
      <c r="E23" s="26">
        <v>530</v>
      </c>
      <c r="F23" s="26">
        <v>30</v>
      </c>
      <c r="G23" s="26">
        <v>225</v>
      </c>
      <c r="H23" s="26">
        <v>265</v>
      </c>
      <c r="I23" s="26">
        <v>180</v>
      </c>
      <c r="J23" s="26">
        <v>145</v>
      </c>
    </row>
    <row r="24" spans="1:10" x14ac:dyDescent="0.35">
      <c r="A24" s="26">
        <v>12</v>
      </c>
      <c r="B24" s="26">
        <v>5</v>
      </c>
      <c r="C24" s="26">
        <v>9</v>
      </c>
      <c r="D24" s="26" t="s">
        <v>286</v>
      </c>
      <c r="E24" s="26">
        <v>4587</v>
      </c>
      <c r="F24" s="26">
        <v>705</v>
      </c>
      <c r="G24" s="26">
        <v>2470</v>
      </c>
      <c r="H24" s="26">
        <v>1245</v>
      </c>
      <c r="I24" s="26">
        <v>1555</v>
      </c>
      <c r="J24" s="26">
        <v>500</v>
      </c>
    </row>
    <row r="25" spans="1:10" x14ac:dyDescent="0.35">
      <c r="A25" s="26">
        <v>12</v>
      </c>
      <c r="B25" s="26">
        <v>5</v>
      </c>
      <c r="C25" s="26">
        <v>14</v>
      </c>
      <c r="D25" s="26" t="s">
        <v>287</v>
      </c>
      <c r="E25" s="26">
        <v>5218</v>
      </c>
      <c r="F25" s="26">
        <v>890</v>
      </c>
      <c r="G25" s="26">
        <v>3100</v>
      </c>
      <c r="H25" s="26">
        <v>1190</v>
      </c>
      <c r="I25" s="26">
        <v>1885</v>
      </c>
      <c r="J25" s="26">
        <v>420</v>
      </c>
    </row>
    <row r="26" spans="1:10" x14ac:dyDescent="0.35">
      <c r="A26" s="26">
        <v>12</v>
      </c>
      <c r="B26" s="26">
        <v>5</v>
      </c>
      <c r="C26" s="26">
        <v>16</v>
      </c>
      <c r="D26" s="26" t="s">
        <v>288</v>
      </c>
      <c r="E26" s="26">
        <v>1873</v>
      </c>
      <c r="F26" s="26">
        <v>310</v>
      </c>
      <c r="G26" s="26">
        <v>995</v>
      </c>
      <c r="H26" s="26">
        <v>510</v>
      </c>
      <c r="I26" s="26">
        <v>425</v>
      </c>
      <c r="J26" s="26">
        <v>500</v>
      </c>
    </row>
    <row r="27" spans="1:10" x14ac:dyDescent="0.35">
      <c r="A27" s="26">
        <v>12</v>
      </c>
      <c r="B27" s="26">
        <v>6</v>
      </c>
      <c r="C27" s="26">
        <v>1</v>
      </c>
      <c r="D27" s="26" t="s">
        <v>289</v>
      </c>
      <c r="E27" s="26">
        <v>25545</v>
      </c>
      <c r="F27" s="26">
        <v>3730</v>
      </c>
      <c r="G27" s="26">
        <v>14465</v>
      </c>
      <c r="H27" s="26">
        <v>7200</v>
      </c>
      <c r="I27" s="26">
        <v>10340</v>
      </c>
      <c r="J27" s="26">
        <v>1165</v>
      </c>
    </row>
    <row r="28" spans="1:10" x14ac:dyDescent="0.35">
      <c r="A28" s="26">
        <v>12</v>
      </c>
      <c r="B28" s="26">
        <v>6</v>
      </c>
      <c r="C28" s="26">
        <v>4</v>
      </c>
      <c r="D28" s="26" t="s">
        <v>290</v>
      </c>
      <c r="E28" s="26">
        <v>8790</v>
      </c>
      <c r="F28" s="26">
        <v>1255</v>
      </c>
      <c r="G28" s="26">
        <v>4855</v>
      </c>
      <c r="H28" s="26">
        <v>2380</v>
      </c>
      <c r="I28" s="26">
        <v>2470</v>
      </c>
      <c r="J28" s="26">
        <v>1790</v>
      </c>
    </row>
    <row r="29" spans="1:10" x14ac:dyDescent="0.35">
      <c r="A29" s="26">
        <v>12</v>
      </c>
      <c r="B29" s="26">
        <v>6</v>
      </c>
      <c r="C29" s="26">
        <v>6</v>
      </c>
      <c r="D29" s="26" t="s">
        <v>289</v>
      </c>
      <c r="E29" s="26">
        <v>2396</v>
      </c>
      <c r="F29" s="26">
        <v>325</v>
      </c>
      <c r="G29" s="26">
        <v>1160</v>
      </c>
      <c r="H29" s="26">
        <v>715</v>
      </c>
      <c r="I29" s="26">
        <v>690</v>
      </c>
      <c r="J29" s="26">
        <v>405</v>
      </c>
    </row>
    <row r="30" spans="1:10" x14ac:dyDescent="0.35">
      <c r="A30" s="26">
        <v>12</v>
      </c>
      <c r="B30" s="26">
        <v>6</v>
      </c>
      <c r="C30" s="26">
        <v>8</v>
      </c>
      <c r="D30" s="26" t="s">
        <v>291</v>
      </c>
      <c r="E30" s="26">
        <v>1064</v>
      </c>
      <c r="F30" s="26">
        <v>145</v>
      </c>
      <c r="G30" s="26">
        <v>480</v>
      </c>
      <c r="H30" s="26">
        <v>375</v>
      </c>
      <c r="I30" s="26">
        <v>355</v>
      </c>
      <c r="J30" s="26">
        <v>170</v>
      </c>
    </row>
    <row r="31" spans="1:10" x14ac:dyDescent="0.35">
      <c r="A31" s="26">
        <v>12</v>
      </c>
      <c r="B31" s="26">
        <v>6</v>
      </c>
      <c r="C31" s="26">
        <v>9</v>
      </c>
      <c r="D31" s="26" t="s">
        <v>292</v>
      </c>
      <c r="E31" s="26">
        <v>10693</v>
      </c>
      <c r="F31" s="26">
        <v>1485</v>
      </c>
      <c r="G31" s="26">
        <v>5905</v>
      </c>
      <c r="H31" s="26">
        <v>3170</v>
      </c>
      <c r="I31" s="26">
        <v>4205</v>
      </c>
      <c r="J31" s="26">
        <v>830</v>
      </c>
    </row>
    <row r="32" spans="1:10" x14ac:dyDescent="0.35">
      <c r="A32" s="26">
        <v>12</v>
      </c>
      <c r="B32" s="26">
        <v>6</v>
      </c>
      <c r="C32" s="26">
        <v>11</v>
      </c>
      <c r="D32" s="26" t="s">
        <v>293</v>
      </c>
      <c r="E32" s="26">
        <v>81</v>
      </c>
      <c r="F32" s="26" t="s">
        <v>155</v>
      </c>
      <c r="G32" s="26" t="s">
        <v>155</v>
      </c>
      <c r="H32" s="26" t="s">
        <v>155</v>
      </c>
      <c r="I32" s="26">
        <v>0</v>
      </c>
      <c r="J32" s="26">
        <v>0</v>
      </c>
    </row>
    <row r="33" spans="1:10" x14ac:dyDescent="0.35">
      <c r="A33" s="26">
        <v>12</v>
      </c>
      <c r="B33" s="26">
        <v>6</v>
      </c>
      <c r="C33" s="26">
        <v>14</v>
      </c>
      <c r="D33" s="26" t="s">
        <v>294</v>
      </c>
      <c r="E33" s="26">
        <v>30</v>
      </c>
      <c r="F33" s="26" t="s">
        <v>155</v>
      </c>
      <c r="G33" s="26" t="s">
        <v>155</v>
      </c>
      <c r="H33" s="26" t="s">
        <v>155</v>
      </c>
      <c r="I33" s="26" t="s">
        <v>155</v>
      </c>
      <c r="J33" s="26" t="s">
        <v>155</v>
      </c>
    </row>
    <row r="34" spans="1:10" x14ac:dyDescent="0.35">
      <c r="A34" s="26">
        <v>12</v>
      </c>
      <c r="B34" s="26">
        <v>6</v>
      </c>
      <c r="C34" s="26">
        <v>16</v>
      </c>
      <c r="D34" s="26" t="s">
        <v>295</v>
      </c>
      <c r="E34" s="26">
        <v>0</v>
      </c>
      <c r="F34" s="26" t="s">
        <v>155</v>
      </c>
      <c r="G34" s="26" t="s">
        <v>155</v>
      </c>
      <c r="H34" s="26" t="s">
        <v>155</v>
      </c>
      <c r="I34" s="26" t="s">
        <v>155</v>
      </c>
      <c r="J34" s="26" t="s">
        <v>155</v>
      </c>
    </row>
    <row r="35" spans="1:10" x14ac:dyDescent="0.35">
      <c r="A35" s="26">
        <v>12</v>
      </c>
      <c r="B35" s="26">
        <v>7</v>
      </c>
      <c r="C35" s="26">
        <v>1</v>
      </c>
      <c r="D35" s="26" t="s">
        <v>296</v>
      </c>
      <c r="E35" s="26">
        <v>22355</v>
      </c>
      <c r="F35" s="26">
        <v>4345</v>
      </c>
      <c r="G35" s="26">
        <v>12935</v>
      </c>
      <c r="H35" s="26">
        <v>4740</v>
      </c>
      <c r="I35" s="26">
        <v>6970</v>
      </c>
      <c r="J35" s="26">
        <v>2490</v>
      </c>
    </row>
    <row r="36" spans="1:10" x14ac:dyDescent="0.35">
      <c r="A36" s="26">
        <v>12</v>
      </c>
      <c r="B36" s="26">
        <v>7</v>
      </c>
      <c r="C36" s="26">
        <v>2</v>
      </c>
      <c r="D36" s="26" t="s">
        <v>297</v>
      </c>
      <c r="E36" s="26">
        <v>743</v>
      </c>
      <c r="F36" s="26">
        <v>160</v>
      </c>
      <c r="G36" s="26">
        <v>440</v>
      </c>
      <c r="H36" s="26">
        <v>145</v>
      </c>
      <c r="I36" s="26">
        <v>195</v>
      </c>
      <c r="J36" s="26">
        <v>75</v>
      </c>
    </row>
    <row r="37" spans="1:10" x14ac:dyDescent="0.35">
      <c r="A37" s="26">
        <v>12</v>
      </c>
      <c r="B37" s="26">
        <v>7</v>
      </c>
      <c r="C37" s="26">
        <v>4</v>
      </c>
      <c r="D37" s="26" t="s">
        <v>298</v>
      </c>
      <c r="E37" s="26">
        <v>2455</v>
      </c>
      <c r="F37" s="26">
        <v>350</v>
      </c>
      <c r="G37" s="26">
        <v>1190</v>
      </c>
      <c r="H37" s="26">
        <v>645</v>
      </c>
      <c r="I37" s="26">
        <v>650</v>
      </c>
      <c r="J37" s="26">
        <v>390</v>
      </c>
    </row>
    <row r="38" spans="1:10" x14ac:dyDescent="0.35">
      <c r="A38" s="26">
        <v>12</v>
      </c>
      <c r="B38" s="26">
        <v>7</v>
      </c>
      <c r="C38" s="26">
        <v>11</v>
      </c>
      <c r="D38" s="26" t="s">
        <v>299</v>
      </c>
      <c r="E38" s="26">
        <v>8348</v>
      </c>
      <c r="F38" s="26">
        <v>1395</v>
      </c>
      <c r="G38" s="26">
        <v>4915</v>
      </c>
      <c r="H38" s="26">
        <v>2015</v>
      </c>
      <c r="I38" s="26">
        <v>2485</v>
      </c>
      <c r="J38" s="26">
        <v>1305</v>
      </c>
    </row>
    <row r="39" spans="1:10" x14ac:dyDescent="0.35">
      <c r="A39" s="26">
        <v>12</v>
      </c>
      <c r="B39" s="26">
        <v>7</v>
      </c>
      <c r="C39" s="26">
        <v>12</v>
      </c>
      <c r="D39" s="26" t="s">
        <v>300</v>
      </c>
      <c r="E39" s="26">
        <v>6630</v>
      </c>
      <c r="F39" s="26">
        <v>1125</v>
      </c>
      <c r="G39" s="26">
        <v>3835</v>
      </c>
      <c r="H39" s="26">
        <v>1400</v>
      </c>
      <c r="I39" s="26">
        <v>1635</v>
      </c>
      <c r="J39" s="26">
        <v>1325</v>
      </c>
    </row>
    <row r="40" spans="1:10" x14ac:dyDescent="0.35">
      <c r="A40" s="26">
        <v>12</v>
      </c>
      <c r="B40" s="26">
        <v>7</v>
      </c>
      <c r="C40" s="26">
        <v>16</v>
      </c>
      <c r="D40" s="26" t="s">
        <v>301</v>
      </c>
      <c r="E40" s="26">
        <v>11951</v>
      </c>
      <c r="F40" s="26">
        <v>2165</v>
      </c>
      <c r="G40" s="26">
        <v>7120</v>
      </c>
      <c r="H40" s="26">
        <v>2625</v>
      </c>
      <c r="I40" s="26">
        <v>3845</v>
      </c>
      <c r="J40" s="26">
        <v>1340</v>
      </c>
    </row>
    <row r="41" spans="1:10" x14ac:dyDescent="0.35">
      <c r="A41" s="26">
        <v>12</v>
      </c>
      <c r="B41" s="26">
        <v>7</v>
      </c>
      <c r="C41" s="26">
        <v>21</v>
      </c>
      <c r="D41" s="26" t="s">
        <v>302</v>
      </c>
      <c r="E41" s="26">
        <v>5264</v>
      </c>
      <c r="F41" s="26">
        <v>795</v>
      </c>
      <c r="G41" s="26">
        <v>3035</v>
      </c>
      <c r="H41" s="26">
        <v>1380</v>
      </c>
      <c r="I41" s="26">
        <v>1950</v>
      </c>
      <c r="J41" s="26">
        <v>345</v>
      </c>
    </row>
    <row r="42" spans="1:10" x14ac:dyDescent="0.35">
      <c r="A42" s="26">
        <v>12</v>
      </c>
      <c r="B42" s="26">
        <v>7</v>
      </c>
      <c r="C42" s="26">
        <v>24</v>
      </c>
      <c r="D42" s="26" t="s">
        <v>303</v>
      </c>
      <c r="E42" s="26">
        <v>5057</v>
      </c>
      <c r="F42" s="26">
        <v>515</v>
      </c>
      <c r="G42" s="26">
        <v>3110</v>
      </c>
      <c r="H42" s="26">
        <v>1230</v>
      </c>
      <c r="I42" s="26">
        <v>940</v>
      </c>
      <c r="J42" s="26">
        <v>1500</v>
      </c>
    </row>
    <row r="43" spans="1:10" x14ac:dyDescent="0.35">
      <c r="A43" s="26">
        <v>12</v>
      </c>
      <c r="B43" s="26">
        <v>7</v>
      </c>
      <c r="C43" s="26">
        <v>27</v>
      </c>
      <c r="D43" s="26" t="s">
        <v>304</v>
      </c>
      <c r="E43" s="26">
        <v>111</v>
      </c>
      <c r="F43" s="26" t="s">
        <v>155</v>
      </c>
      <c r="G43" s="26" t="s">
        <v>155</v>
      </c>
      <c r="H43" s="26" t="s">
        <v>155</v>
      </c>
      <c r="I43" s="26">
        <v>10</v>
      </c>
      <c r="J43" s="26">
        <v>0</v>
      </c>
    </row>
    <row r="44" spans="1:10" x14ac:dyDescent="0.35">
      <c r="A44" s="26">
        <v>12</v>
      </c>
      <c r="B44" s="26">
        <v>8</v>
      </c>
      <c r="C44" s="26">
        <v>3</v>
      </c>
      <c r="D44" s="26" t="s">
        <v>305</v>
      </c>
      <c r="E44" s="26">
        <v>19509</v>
      </c>
      <c r="F44" s="26">
        <v>3445</v>
      </c>
      <c r="G44" s="26">
        <v>11195</v>
      </c>
      <c r="H44" s="26">
        <v>4485</v>
      </c>
      <c r="I44" s="26">
        <v>6660</v>
      </c>
      <c r="J44" s="26">
        <v>1715</v>
      </c>
    </row>
    <row r="45" spans="1:10" x14ac:dyDescent="0.35">
      <c r="A45" s="26">
        <v>12</v>
      </c>
      <c r="B45" s="26">
        <v>8</v>
      </c>
      <c r="C45" s="26">
        <v>8</v>
      </c>
      <c r="D45" s="26" t="s">
        <v>306</v>
      </c>
      <c r="E45" s="26">
        <v>22892</v>
      </c>
      <c r="F45" s="26">
        <v>4525</v>
      </c>
      <c r="G45" s="26">
        <v>14135</v>
      </c>
      <c r="H45" s="26">
        <v>4200</v>
      </c>
      <c r="I45" s="26">
        <v>7625</v>
      </c>
      <c r="J45" s="26">
        <v>1760</v>
      </c>
    </row>
    <row r="46" spans="1:10" x14ac:dyDescent="0.35">
      <c r="A46" s="26">
        <v>12</v>
      </c>
      <c r="B46" s="26">
        <v>8</v>
      </c>
      <c r="C46" s="26">
        <v>14</v>
      </c>
      <c r="D46" s="26" t="s">
        <v>307</v>
      </c>
      <c r="E46" s="26">
        <v>2739</v>
      </c>
      <c r="F46" s="26">
        <v>680</v>
      </c>
      <c r="G46" s="26">
        <v>1655</v>
      </c>
      <c r="H46" s="26">
        <v>405</v>
      </c>
      <c r="I46" s="26">
        <v>635</v>
      </c>
      <c r="J46" s="26">
        <v>90</v>
      </c>
    </row>
    <row r="47" spans="1:10" x14ac:dyDescent="0.35">
      <c r="A47" s="26">
        <v>12</v>
      </c>
      <c r="B47" s="26">
        <v>9</v>
      </c>
      <c r="C47" s="26">
        <v>19</v>
      </c>
      <c r="D47" s="26" t="s">
        <v>308</v>
      </c>
      <c r="E47" s="26">
        <v>208</v>
      </c>
      <c r="F47" s="26" t="s">
        <v>155</v>
      </c>
      <c r="G47" s="26" t="s">
        <v>155</v>
      </c>
      <c r="H47" s="26" t="s">
        <v>155</v>
      </c>
      <c r="I47" s="26">
        <v>10</v>
      </c>
      <c r="J47" s="26">
        <v>110</v>
      </c>
    </row>
    <row r="48" spans="1:10" x14ac:dyDescent="0.35">
      <c r="A48" s="26">
        <v>12</v>
      </c>
      <c r="B48" s="26">
        <v>9</v>
      </c>
      <c r="C48" s="26">
        <v>34</v>
      </c>
      <c r="D48" s="26" t="s">
        <v>173</v>
      </c>
      <c r="E48" s="26">
        <v>439819</v>
      </c>
      <c r="F48" s="26">
        <v>77805</v>
      </c>
      <c r="G48" s="26">
        <v>284175</v>
      </c>
      <c r="H48" s="26">
        <v>73310</v>
      </c>
      <c r="I48" s="26">
        <v>109540</v>
      </c>
      <c r="J48" s="26">
        <v>80965</v>
      </c>
    </row>
    <row r="49" spans="1:10" x14ac:dyDescent="0.35">
      <c r="A49" s="26">
        <v>12</v>
      </c>
      <c r="B49" s="26">
        <v>9</v>
      </c>
      <c r="C49" s="26">
        <v>37</v>
      </c>
      <c r="D49" s="26" t="s">
        <v>309</v>
      </c>
      <c r="E49" s="26">
        <v>20</v>
      </c>
      <c r="F49" s="26" t="s">
        <v>155</v>
      </c>
      <c r="G49" s="26" t="s">
        <v>155</v>
      </c>
      <c r="H49" s="26" t="s">
        <v>155</v>
      </c>
      <c r="I49" s="26" t="s">
        <v>155</v>
      </c>
      <c r="J49" s="26" t="s">
        <v>155</v>
      </c>
    </row>
    <row r="50" spans="1:10" x14ac:dyDescent="0.35">
      <c r="A50" s="26">
        <v>12</v>
      </c>
      <c r="B50" s="26">
        <v>9</v>
      </c>
      <c r="C50" s="26">
        <v>38</v>
      </c>
      <c r="D50" s="26" t="s">
        <v>310</v>
      </c>
      <c r="E50" s="26">
        <v>10</v>
      </c>
      <c r="F50" s="26" t="s">
        <v>155</v>
      </c>
      <c r="G50" s="26" t="s">
        <v>155</v>
      </c>
      <c r="H50" s="26" t="s">
        <v>155</v>
      </c>
      <c r="I50" s="26" t="s">
        <v>155</v>
      </c>
      <c r="J50" s="26" t="s">
        <v>155</v>
      </c>
    </row>
    <row r="51" spans="1:10" x14ac:dyDescent="0.35">
      <c r="A51" s="26">
        <v>12</v>
      </c>
      <c r="B51" s="26">
        <v>9</v>
      </c>
      <c r="C51" s="26">
        <v>800</v>
      </c>
      <c r="D51" s="26" t="s">
        <v>311</v>
      </c>
      <c r="E51" s="26">
        <v>15</v>
      </c>
      <c r="F51" s="26" t="s">
        <v>155</v>
      </c>
      <c r="G51" s="26" t="s">
        <v>155</v>
      </c>
      <c r="H51" s="26" t="s">
        <v>155</v>
      </c>
      <c r="I51" s="26" t="s">
        <v>155</v>
      </c>
      <c r="J51" s="26" t="s">
        <v>155</v>
      </c>
    </row>
    <row r="52" spans="1:10" x14ac:dyDescent="0.35">
      <c r="A52" s="26">
        <v>12</v>
      </c>
      <c r="B52" s="26">
        <v>10</v>
      </c>
      <c r="C52" s="26">
        <v>1</v>
      </c>
      <c r="D52" s="26" t="s">
        <v>312</v>
      </c>
      <c r="E52" s="26">
        <v>12476</v>
      </c>
      <c r="F52" s="26">
        <v>2340</v>
      </c>
      <c r="G52" s="26">
        <v>7430</v>
      </c>
      <c r="H52" s="26">
        <v>2650</v>
      </c>
      <c r="I52" s="26">
        <v>4325</v>
      </c>
      <c r="J52" s="26">
        <v>995</v>
      </c>
    </row>
    <row r="53" spans="1:10" x14ac:dyDescent="0.35">
      <c r="A53" s="26">
        <v>12</v>
      </c>
      <c r="B53" s="26">
        <v>10</v>
      </c>
      <c r="C53" s="26">
        <v>2</v>
      </c>
      <c r="D53" s="26" t="s">
        <v>313</v>
      </c>
      <c r="E53" s="26">
        <v>1557</v>
      </c>
      <c r="F53" s="26">
        <v>290</v>
      </c>
      <c r="G53" s="26">
        <v>885</v>
      </c>
      <c r="H53" s="26">
        <v>375</v>
      </c>
      <c r="I53" s="26">
        <v>440</v>
      </c>
      <c r="J53" s="26">
        <v>275</v>
      </c>
    </row>
    <row r="54" spans="1:10" x14ac:dyDescent="0.35">
      <c r="A54" s="26">
        <v>12</v>
      </c>
      <c r="B54" s="26">
        <v>10</v>
      </c>
      <c r="C54" s="26">
        <v>3</v>
      </c>
      <c r="D54" s="26" t="s">
        <v>314</v>
      </c>
      <c r="E54" s="26">
        <v>921</v>
      </c>
      <c r="F54" s="26">
        <v>250</v>
      </c>
      <c r="G54" s="26">
        <v>545</v>
      </c>
      <c r="H54" s="26">
        <v>75</v>
      </c>
      <c r="I54" s="26">
        <v>50</v>
      </c>
      <c r="J54" s="26">
        <v>10</v>
      </c>
    </row>
    <row r="55" spans="1:10" x14ac:dyDescent="0.35">
      <c r="A55" s="26">
        <v>12</v>
      </c>
      <c r="B55" s="26">
        <v>10</v>
      </c>
      <c r="C55" s="26">
        <v>6</v>
      </c>
      <c r="D55" s="26" t="s">
        <v>315</v>
      </c>
      <c r="E55" s="26">
        <v>12954</v>
      </c>
      <c r="F55" s="26">
        <v>1985</v>
      </c>
      <c r="G55" s="26">
        <v>7375</v>
      </c>
      <c r="H55" s="26">
        <v>3060</v>
      </c>
      <c r="I55" s="26">
        <v>2700</v>
      </c>
      <c r="J55" s="26">
        <v>3650</v>
      </c>
    </row>
    <row r="56" spans="1:10" x14ac:dyDescent="0.35">
      <c r="A56" s="26">
        <v>12</v>
      </c>
      <c r="B56" s="26">
        <v>10</v>
      </c>
      <c r="C56" s="26">
        <v>8</v>
      </c>
      <c r="D56" s="26" t="s">
        <v>316</v>
      </c>
      <c r="E56" s="26">
        <v>19806</v>
      </c>
      <c r="F56" s="26">
        <v>3520</v>
      </c>
      <c r="G56" s="26">
        <v>11380</v>
      </c>
      <c r="H56" s="26">
        <v>4715</v>
      </c>
      <c r="I56" s="26">
        <v>6770</v>
      </c>
      <c r="J56" s="26">
        <v>1930</v>
      </c>
    </row>
    <row r="57" spans="1:10" x14ac:dyDescent="0.35">
      <c r="A57" s="26">
        <v>12</v>
      </c>
      <c r="B57" s="26">
        <v>10</v>
      </c>
      <c r="C57" s="26">
        <v>12</v>
      </c>
      <c r="D57" s="26" t="s">
        <v>317</v>
      </c>
      <c r="E57" s="26">
        <v>3762</v>
      </c>
      <c r="F57" s="26">
        <v>625</v>
      </c>
      <c r="G57" s="26">
        <v>2115</v>
      </c>
      <c r="H57" s="26">
        <v>955</v>
      </c>
      <c r="I57" s="26">
        <v>1465</v>
      </c>
      <c r="J57" s="26">
        <v>180</v>
      </c>
    </row>
    <row r="58" spans="1:10" x14ac:dyDescent="0.35">
      <c r="A58" s="26">
        <v>12</v>
      </c>
      <c r="B58" s="26">
        <v>11</v>
      </c>
      <c r="C58" s="26">
        <v>1</v>
      </c>
      <c r="D58" s="26" t="s">
        <v>318</v>
      </c>
      <c r="E58" s="26">
        <v>3201</v>
      </c>
      <c r="F58" s="26">
        <v>440</v>
      </c>
      <c r="G58" s="26">
        <v>1665</v>
      </c>
      <c r="H58" s="26">
        <v>1050</v>
      </c>
      <c r="I58" s="26">
        <v>1295</v>
      </c>
      <c r="J58" s="26">
        <v>290</v>
      </c>
    </row>
    <row r="59" spans="1:10" x14ac:dyDescent="0.35">
      <c r="A59" s="26">
        <v>12</v>
      </c>
      <c r="B59" s="26">
        <v>11</v>
      </c>
      <c r="C59" s="26">
        <v>6</v>
      </c>
      <c r="D59" s="26" t="s">
        <v>319</v>
      </c>
      <c r="E59" s="26">
        <v>6786</v>
      </c>
      <c r="F59" s="26">
        <v>1010</v>
      </c>
      <c r="G59" s="26">
        <v>3600</v>
      </c>
      <c r="H59" s="26">
        <v>1740</v>
      </c>
      <c r="I59" s="26">
        <v>2455</v>
      </c>
      <c r="J59" s="26">
        <v>535</v>
      </c>
    </row>
    <row r="60" spans="1:10" x14ac:dyDescent="0.35">
      <c r="A60" s="26">
        <v>12</v>
      </c>
      <c r="B60" s="26">
        <v>11</v>
      </c>
      <c r="C60" s="26">
        <v>9</v>
      </c>
      <c r="D60" s="26" t="s">
        <v>320</v>
      </c>
      <c r="E60" s="26">
        <v>5694</v>
      </c>
      <c r="F60" s="26">
        <v>940</v>
      </c>
      <c r="G60" s="26">
        <v>3120</v>
      </c>
      <c r="H60" s="26">
        <v>1595</v>
      </c>
      <c r="I60" s="26">
        <v>2220</v>
      </c>
      <c r="J60" s="26">
        <v>305</v>
      </c>
    </row>
    <row r="61" spans="1:10" x14ac:dyDescent="0.35">
      <c r="A61" s="26">
        <v>12</v>
      </c>
      <c r="B61" s="26">
        <v>11</v>
      </c>
      <c r="C61" s="26">
        <v>11</v>
      </c>
      <c r="D61" s="26" t="s">
        <v>321</v>
      </c>
      <c r="E61" s="26">
        <v>9404</v>
      </c>
      <c r="F61" s="26">
        <v>1660</v>
      </c>
      <c r="G61" s="26">
        <v>5245</v>
      </c>
      <c r="H61" s="26">
        <v>2340</v>
      </c>
      <c r="I61" s="26">
        <v>2565</v>
      </c>
      <c r="J61" s="26">
        <v>1915</v>
      </c>
    </row>
    <row r="62" spans="1:10" x14ac:dyDescent="0.35">
      <c r="A62" s="26">
        <v>12</v>
      </c>
      <c r="B62" s="26">
        <v>11</v>
      </c>
      <c r="C62" s="26">
        <v>12</v>
      </c>
      <c r="D62" s="26" t="s">
        <v>322</v>
      </c>
      <c r="E62" s="26">
        <v>1170</v>
      </c>
      <c r="F62" s="26">
        <v>235</v>
      </c>
      <c r="G62" s="26">
        <v>660</v>
      </c>
      <c r="H62" s="26">
        <v>250</v>
      </c>
      <c r="I62" s="26">
        <v>355</v>
      </c>
      <c r="J62" s="26">
        <v>180</v>
      </c>
    </row>
    <row r="63" spans="1:10" x14ac:dyDescent="0.35">
      <c r="A63" s="26">
        <v>12</v>
      </c>
      <c r="B63" s="26">
        <v>11</v>
      </c>
      <c r="C63" s="26">
        <v>14</v>
      </c>
      <c r="D63" s="26" t="s">
        <v>323</v>
      </c>
      <c r="E63" s="26">
        <v>4283</v>
      </c>
      <c r="F63" s="26">
        <v>510</v>
      </c>
      <c r="G63" s="26">
        <v>2205</v>
      </c>
      <c r="H63" s="26">
        <v>1425</v>
      </c>
      <c r="I63" s="26">
        <v>1760</v>
      </c>
      <c r="J63" s="26">
        <v>255</v>
      </c>
    </row>
    <row r="64" spans="1:10" x14ac:dyDescent="0.35">
      <c r="A64" s="26">
        <v>12</v>
      </c>
      <c r="B64" s="26">
        <v>12</v>
      </c>
      <c r="C64" s="26">
        <v>1</v>
      </c>
      <c r="D64" s="26" t="s">
        <v>324</v>
      </c>
      <c r="E64" s="26">
        <v>6153</v>
      </c>
      <c r="F64" s="26">
        <v>940</v>
      </c>
      <c r="G64" s="26">
        <v>3395</v>
      </c>
      <c r="H64" s="26">
        <v>1810</v>
      </c>
      <c r="I64" s="26">
        <v>2525</v>
      </c>
      <c r="J64" s="26">
        <v>280</v>
      </c>
    </row>
    <row r="65" spans="1:10" x14ac:dyDescent="0.35">
      <c r="A65" s="26">
        <v>12</v>
      </c>
      <c r="B65" s="26">
        <v>12</v>
      </c>
      <c r="C65" s="26">
        <v>4</v>
      </c>
      <c r="D65" s="26" t="s">
        <v>325</v>
      </c>
      <c r="E65" s="26">
        <v>3107</v>
      </c>
      <c r="F65" s="26">
        <v>500</v>
      </c>
      <c r="G65" s="26">
        <v>1660</v>
      </c>
      <c r="H65" s="26">
        <v>825</v>
      </c>
      <c r="I65" s="26">
        <v>960</v>
      </c>
      <c r="J65" s="26">
        <v>495</v>
      </c>
    </row>
    <row r="66" spans="1:10" x14ac:dyDescent="0.35">
      <c r="A66" s="26">
        <v>12</v>
      </c>
      <c r="B66" s="26">
        <v>12</v>
      </c>
      <c r="C66" s="26">
        <v>6</v>
      </c>
      <c r="D66" s="26" t="s">
        <v>326</v>
      </c>
      <c r="E66" s="26">
        <v>6137</v>
      </c>
      <c r="F66" s="26">
        <v>1020</v>
      </c>
      <c r="G66" s="26">
        <v>3390</v>
      </c>
      <c r="H66" s="26">
        <v>1515</v>
      </c>
      <c r="I66" s="26">
        <v>2235</v>
      </c>
      <c r="J66" s="26">
        <v>395</v>
      </c>
    </row>
    <row r="67" spans="1:10" x14ac:dyDescent="0.35">
      <c r="A67" s="26">
        <v>12</v>
      </c>
      <c r="B67" s="26">
        <v>12</v>
      </c>
      <c r="C67" s="26">
        <v>8</v>
      </c>
      <c r="D67" s="26" t="s">
        <v>327</v>
      </c>
      <c r="E67" s="26">
        <v>3540</v>
      </c>
      <c r="F67" s="26">
        <v>690</v>
      </c>
      <c r="G67" s="26">
        <v>2005</v>
      </c>
      <c r="H67" s="26">
        <v>835</v>
      </c>
      <c r="I67" s="26">
        <v>1125</v>
      </c>
      <c r="J67" s="26">
        <v>435</v>
      </c>
    </row>
    <row r="68" spans="1:10" x14ac:dyDescent="0.35">
      <c r="A68" s="26">
        <v>12</v>
      </c>
      <c r="B68" s="26">
        <v>12</v>
      </c>
      <c r="C68" s="26">
        <v>9</v>
      </c>
      <c r="D68" s="26" t="s">
        <v>328</v>
      </c>
      <c r="E68" s="26">
        <v>4007</v>
      </c>
      <c r="F68" s="26">
        <v>735</v>
      </c>
      <c r="G68" s="26">
        <v>2345</v>
      </c>
      <c r="H68" s="26">
        <v>905</v>
      </c>
      <c r="I68" s="26">
        <v>1165</v>
      </c>
      <c r="J68" s="26">
        <v>720</v>
      </c>
    </row>
    <row r="69" spans="1:10" x14ac:dyDescent="0.35">
      <c r="A69" s="26">
        <v>12</v>
      </c>
      <c r="B69" s="26">
        <v>12</v>
      </c>
      <c r="C69" s="26">
        <v>11</v>
      </c>
      <c r="D69" s="26" t="s">
        <v>329</v>
      </c>
      <c r="E69" s="26">
        <v>8386</v>
      </c>
      <c r="F69" s="26">
        <v>1370</v>
      </c>
      <c r="G69" s="26">
        <v>4735</v>
      </c>
      <c r="H69" s="26">
        <v>2205</v>
      </c>
      <c r="I69" s="26">
        <v>3270</v>
      </c>
      <c r="J69" s="26">
        <v>445</v>
      </c>
    </row>
    <row r="70" spans="1:10" x14ac:dyDescent="0.35">
      <c r="A70" s="26">
        <v>12</v>
      </c>
      <c r="B70" s="26">
        <v>12</v>
      </c>
      <c r="C70" s="26">
        <v>14</v>
      </c>
      <c r="D70" s="26" t="s">
        <v>330</v>
      </c>
      <c r="E70" s="26">
        <v>9471</v>
      </c>
      <c r="F70" s="26">
        <v>1655</v>
      </c>
      <c r="G70" s="26">
        <v>5275</v>
      </c>
      <c r="H70" s="26">
        <v>2265</v>
      </c>
      <c r="I70" s="26">
        <v>2505</v>
      </c>
      <c r="J70" s="26">
        <v>1935</v>
      </c>
    </row>
    <row r="71" spans="1:10" x14ac:dyDescent="0.35">
      <c r="A71" s="26">
        <v>12</v>
      </c>
      <c r="B71" s="26">
        <v>12</v>
      </c>
      <c r="C71" s="26">
        <v>16</v>
      </c>
      <c r="D71" s="26" t="s">
        <v>331</v>
      </c>
      <c r="E71" s="26">
        <v>2407</v>
      </c>
      <c r="F71" s="26">
        <v>415</v>
      </c>
      <c r="G71" s="26">
        <v>1435</v>
      </c>
      <c r="H71" s="26">
        <v>520</v>
      </c>
      <c r="I71" s="26">
        <v>810</v>
      </c>
      <c r="J71" s="26">
        <v>285</v>
      </c>
    </row>
    <row r="72" spans="1:10" x14ac:dyDescent="0.35">
      <c r="A72" s="26">
        <v>12</v>
      </c>
      <c r="B72" s="26">
        <v>12</v>
      </c>
      <c r="C72" s="26">
        <v>19</v>
      </c>
      <c r="D72" s="26" t="s">
        <v>332</v>
      </c>
      <c r="E72" s="26">
        <v>449</v>
      </c>
      <c r="F72" s="26">
        <v>115</v>
      </c>
      <c r="G72" s="26">
        <v>305</v>
      </c>
      <c r="H72" s="26">
        <v>30</v>
      </c>
      <c r="I72" s="26">
        <v>15</v>
      </c>
      <c r="J72" s="26">
        <v>10</v>
      </c>
    </row>
    <row r="73" spans="1:10" x14ac:dyDescent="0.35">
      <c r="A73" s="26">
        <v>12</v>
      </c>
      <c r="B73" s="26">
        <v>12</v>
      </c>
      <c r="C73" s="26">
        <v>23</v>
      </c>
      <c r="D73" s="26" t="s">
        <v>333</v>
      </c>
      <c r="E73" s="26">
        <v>0</v>
      </c>
      <c r="F73" s="26" t="s">
        <v>155</v>
      </c>
      <c r="G73" s="26" t="s">
        <v>155</v>
      </c>
      <c r="H73" s="26" t="s">
        <v>155</v>
      </c>
      <c r="I73" s="26" t="s">
        <v>155</v>
      </c>
      <c r="J73" s="26" t="s">
        <v>155</v>
      </c>
    </row>
    <row r="74" spans="1:10" x14ac:dyDescent="0.35">
      <c r="A74" s="26">
        <v>12</v>
      </c>
      <c r="B74" s="26">
        <v>13</v>
      </c>
      <c r="C74" s="26">
        <v>1</v>
      </c>
      <c r="D74" s="26" t="s">
        <v>334</v>
      </c>
      <c r="E74" s="26">
        <v>2161</v>
      </c>
      <c r="F74" s="26">
        <v>285</v>
      </c>
      <c r="G74" s="26">
        <v>1150</v>
      </c>
      <c r="H74" s="26">
        <v>690</v>
      </c>
      <c r="I74" s="26">
        <v>945</v>
      </c>
      <c r="J74" s="26">
        <v>105</v>
      </c>
    </row>
    <row r="75" spans="1:10" x14ac:dyDescent="0.35">
      <c r="A75" s="26">
        <v>12</v>
      </c>
      <c r="B75" s="26">
        <v>13</v>
      </c>
      <c r="C75" s="26">
        <v>4</v>
      </c>
      <c r="D75" s="26" t="s">
        <v>335</v>
      </c>
      <c r="E75" s="26">
        <v>4585</v>
      </c>
      <c r="F75" s="26">
        <v>615</v>
      </c>
      <c r="G75" s="26">
        <v>2345</v>
      </c>
      <c r="H75" s="26">
        <v>1555</v>
      </c>
      <c r="I75" s="26">
        <v>1925</v>
      </c>
      <c r="J75" s="26">
        <v>295</v>
      </c>
    </row>
    <row r="76" spans="1:10" x14ac:dyDescent="0.35">
      <c r="A76" s="26">
        <v>12</v>
      </c>
      <c r="B76" s="26">
        <v>13</v>
      </c>
      <c r="C76" s="26">
        <v>8</v>
      </c>
      <c r="D76" s="26" t="s">
        <v>336</v>
      </c>
      <c r="E76" s="26">
        <v>627</v>
      </c>
      <c r="F76" s="26">
        <v>95</v>
      </c>
      <c r="G76" s="26">
        <v>345</v>
      </c>
      <c r="H76" s="26">
        <v>190</v>
      </c>
      <c r="I76" s="26">
        <v>245</v>
      </c>
      <c r="J76" s="26">
        <v>50</v>
      </c>
    </row>
    <row r="77" spans="1:10" x14ac:dyDescent="0.35">
      <c r="A77" s="26">
        <v>12</v>
      </c>
      <c r="B77" s="26">
        <v>14</v>
      </c>
      <c r="C77" s="26">
        <v>1</v>
      </c>
      <c r="D77" s="26" t="s">
        <v>337</v>
      </c>
      <c r="E77" s="26">
        <v>8963</v>
      </c>
      <c r="F77" s="26">
        <v>1750</v>
      </c>
      <c r="G77" s="26">
        <v>4935</v>
      </c>
      <c r="H77" s="26">
        <v>2185</v>
      </c>
      <c r="I77" s="26">
        <v>3030</v>
      </c>
      <c r="J77" s="26">
        <v>745</v>
      </c>
    </row>
    <row r="78" spans="1:10" x14ac:dyDescent="0.35">
      <c r="A78" s="26">
        <v>12</v>
      </c>
      <c r="B78" s="26">
        <v>14</v>
      </c>
      <c r="C78" s="26">
        <v>2</v>
      </c>
      <c r="D78" s="26" t="s">
        <v>338</v>
      </c>
      <c r="E78" s="26">
        <v>4656</v>
      </c>
      <c r="F78" s="26">
        <v>660</v>
      </c>
      <c r="G78" s="26">
        <v>2795</v>
      </c>
      <c r="H78" s="26">
        <v>1000</v>
      </c>
      <c r="I78" s="26">
        <v>955</v>
      </c>
      <c r="J78" s="26">
        <v>1250</v>
      </c>
    </row>
    <row r="79" spans="1:10" x14ac:dyDescent="0.35">
      <c r="A79" s="26">
        <v>12</v>
      </c>
      <c r="B79" s="26">
        <v>14</v>
      </c>
      <c r="C79" s="26">
        <v>6</v>
      </c>
      <c r="D79" s="26" t="s">
        <v>339</v>
      </c>
      <c r="E79" s="26">
        <v>6138</v>
      </c>
      <c r="F79" s="26">
        <v>1145</v>
      </c>
      <c r="G79" s="26">
        <v>3605</v>
      </c>
      <c r="H79" s="26">
        <v>1380</v>
      </c>
      <c r="I79" s="26">
        <v>2390</v>
      </c>
      <c r="J79" s="26">
        <v>205</v>
      </c>
    </row>
    <row r="80" spans="1:10" x14ac:dyDescent="0.35">
      <c r="A80" s="26">
        <v>12</v>
      </c>
      <c r="B80" s="26">
        <v>14</v>
      </c>
      <c r="C80" s="26">
        <v>10</v>
      </c>
      <c r="D80" s="26" t="s">
        <v>340</v>
      </c>
      <c r="E80" s="26">
        <v>372</v>
      </c>
      <c r="F80" s="26">
        <v>130</v>
      </c>
      <c r="G80" s="26">
        <v>225</v>
      </c>
      <c r="H80" s="26">
        <v>15</v>
      </c>
      <c r="I80" s="26">
        <v>10</v>
      </c>
      <c r="J80" s="26">
        <v>15</v>
      </c>
    </row>
    <row r="81" spans="1:10" x14ac:dyDescent="0.35">
      <c r="A81" s="26">
        <v>12</v>
      </c>
      <c r="B81" s="26">
        <v>15</v>
      </c>
      <c r="C81" s="26">
        <v>1</v>
      </c>
      <c r="D81" s="26" t="s">
        <v>341</v>
      </c>
      <c r="E81" s="26">
        <v>3167</v>
      </c>
      <c r="F81" s="26">
        <v>445</v>
      </c>
      <c r="G81" s="26">
        <v>1705</v>
      </c>
      <c r="H81" s="26">
        <v>960</v>
      </c>
      <c r="I81" s="26">
        <v>1310</v>
      </c>
      <c r="J81" s="26">
        <v>120</v>
      </c>
    </row>
    <row r="82" spans="1:10" x14ac:dyDescent="0.35">
      <c r="A82" s="26">
        <v>12</v>
      </c>
      <c r="B82" s="26">
        <v>15</v>
      </c>
      <c r="C82" s="26">
        <v>2</v>
      </c>
      <c r="D82" s="26" t="s">
        <v>342</v>
      </c>
      <c r="E82" s="26">
        <v>3210</v>
      </c>
      <c r="F82" s="26">
        <v>550</v>
      </c>
      <c r="G82" s="26">
        <v>1865</v>
      </c>
      <c r="H82" s="26">
        <v>725</v>
      </c>
      <c r="I82" s="26">
        <v>860</v>
      </c>
      <c r="J82" s="26">
        <v>550</v>
      </c>
    </row>
    <row r="83" spans="1:10" x14ac:dyDescent="0.35">
      <c r="A83" s="26">
        <v>12</v>
      </c>
      <c r="B83" s="26">
        <v>15</v>
      </c>
      <c r="C83" s="26">
        <v>5</v>
      </c>
      <c r="D83" s="26" t="s">
        <v>343</v>
      </c>
      <c r="E83" s="26">
        <v>20</v>
      </c>
      <c r="F83" s="26" t="s">
        <v>155</v>
      </c>
      <c r="G83" s="26" t="s">
        <v>155</v>
      </c>
      <c r="H83" s="26" t="s">
        <v>155</v>
      </c>
      <c r="I83" s="26" t="s">
        <v>155</v>
      </c>
      <c r="J83" s="26" t="s">
        <v>155</v>
      </c>
    </row>
    <row r="84" spans="1:10" x14ac:dyDescent="0.35">
      <c r="A84" s="26">
        <v>12</v>
      </c>
      <c r="B84" s="26">
        <v>15</v>
      </c>
      <c r="C84" s="26">
        <v>6</v>
      </c>
      <c r="D84" s="26" t="s">
        <v>344</v>
      </c>
      <c r="E84" s="26">
        <v>4865</v>
      </c>
      <c r="F84" s="26">
        <v>795</v>
      </c>
      <c r="G84" s="26">
        <v>2480</v>
      </c>
      <c r="H84" s="26">
        <v>1470</v>
      </c>
      <c r="I84" s="26">
        <v>1745</v>
      </c>
      <c r="J84" s="26">
        <v>420</v>
      </c>
    </row>
    <row r="85" spans="1:10" x14ac:dyDescent="0.35">
      <c r="A85" s="26">
        <v>12</v>
      </c>
      <c r="B85" s="26">
        <v>15</v>
      </c>
      <c r="C85" s="26">
        <v>8</v>
      </c>
      <c r="D85" s="26" t="s">
        <v>345</v>
      </c>
      <c r="E85" s="26">
        <v>877</v>
      </c>
      <c r="F85" s="26">
        <v>325</v>
      </c>
      <c r="G85" s="26">
        <v>505</v>
      </c>
      <c r="H85" s="26">
        <v>40</v>
      </c>
      <c r="I85" s="26">
        <v>40</v>
      </c>
      <c r="J85" s="26">
        <v>10</v>
      </c>
    </row>
    <row r="86" spans="1:10" x14ac:dyDescent="0.35">
      <c r="A86" s="26">
        <v>12</v>
      </c>
      <c r="B86" s="26">
        <v>15</v>
      </c>
      <c r="C86" s="26">
        <v>11</v>
      </c>
      <c r="D86" s="26" t="s">
        <v>346</v>
      </c>
      <c r="E86" s="26">
        <v>5207</v>
      </c>
      <c r="F86" s="26">
        <v>730</v>
      </c>
      <c r="G86" s="26">
        <v>2680</v>
      </c>
      <c r="H86" s="26">
        <v>1665</v>
      </c>
      <c r="I86" s="26">
        <v>2030</v>
      </c>
      <c r="J86" s="26">
        <v>365</v>
      </c>
    </row>
    <row r="87" spans="1:10" x14ac:dyDescent="0.35">
      <c r="A87" s="26">
        <v>12</v>
      </c>
      <c r="B87" s="26">
        <v>16</v>
      </c>
      <c r="C87" s="26">
        <v>1</v>
      </c>
      <c r="D87" s="26" t="s">
        <v>347</v>
      </c>
      <c r="E87" s="26">
        <v>3136</v>
      </c>
      <c r="F87" s="26">
        <v>445</v>
      </c>
      <c r="G87" s="26">
        <v>1720</v>
      </c>
      <c r="H87" s="26">
        <v>940</v>
      </c>
      <c r="I87" s="26">
        <v>1210</v>
      </c>
      <c r="J87" s="26">
        <v>245</v>
      </c>
    </row>
    <row r="88" spans="1:10" x14ac:dyDescent="0.35">
      <c r="A88" s="26">
        <v>12</v>
      </c>
      <c r="B88" s="26">
        <v>16</v>
      </c>
      <c r="C88" s="26">
        <v>6</v>
      </c>
      <c r="D88" s="26" t="s">
        <v>348</v>
      </c>
      <c r="E88" s="26">
        <v>3763</v>
      </c>
      <c r="F88" s="26">
        <v>545</v>
      </c>
      <c r="G88" s="26">
        <v>1975</v>
      </c>
      <c r="H88" s="26">
        <v>1160</v>
      </c>
      <c r="I88" s="26">
        <v>1360</v>
      </c>
      <c r="J88" s="26">
        <v>370</v>
      </c>
    </row>
    <row r="89" spans="1:10" x14ac:dyDescent="0.35">
      <c r="A89" s="26">
        <v>12</v>
      </c>
      <c r="B89" s="26">
        <v>16</v>
      </c>
      <c r="C89" s="26">
        <v>11</v>
      </c>
      <c r="D89" s="26" t="s">
        <v>349</v>
      </c>
      <c r="E89" s="26">
        <v>1610</v>
      </c>
      <c r="F89" s="26">
        <v>165</v>
      </c>
      <c r="G89" s="26">
        <v>865</v>
      </c>
      <c r="H89" s="26">
        <v>585</v>
      </c>
      <c r="I89" s="26">
        <v>695</v>
      </c>
      <c r="J89" s="26">
        <v>85</v>
      </c>
    </row>
    <row r="90" spans="1:10" x14ac:dyDescent="0.35">
      <c r="A90" s="26">
        <v>12</v>
      </c>
      <c r="B90" s="26">
        <v>16</v>
      </c>
      <c r="C90" s="26">
        <v>14</v>
      </c>
      <c r="D90" s="26" t="s">
        <v>350</v>
      </c>
      <c r="E90" s="26">
        <v>405</v>
      </c>
      <c r="F90" s="26">
        <v>130</v>
      </c>
      <c r="G90" s="26">
        <v>250</v>
      </c>
      <c r="H90" s="26">
        <v>25</v>
      </c>
      <c r="I90" s="26">
        <v>15</v>
      </c>
      <c r="J90" s="26">
        <v>0</v>
      </c>
    </row>
    <row r="91" spans="1:10" x14ac:dyDescent="0.35">
      <c r="A91" s="26">
        <v>12</v>
      </c>
      <c r="B91" s="26">
        <v>17</v>
      </c>
      <c r="C91" s="26">
        <v>8</v>
      </c>
      <c r="D91" s="26" t="s">
        <v>351</v>
      </c>
      <c r="E91" s="26">
        <v>1103</v>
      </c>
      <c r="F91" s="26">
        <v>355</v>
      </c>
      <c r="G91" s="26">
        <v>665</v>
      </c>
      <c r="H91" s="26">
        <v>90</v>
      </c>
      <c r="I91" s="26">
        <v>50</v>
      </c>
      <c r="J91" s="26">
        <v>25</v>
      </c>
    </row>
    <row r="92" spans="1:10" x14ac:dyDescent="0.35">
      <c r="A92" s="26">
        <v>12</v>
      </c>
      <c r="B92" s="26">
        <v>17</v>
      </c>
      <c r="C92" s="26">
        <v>20</v>
      </c>
      <c r="D92" s="26" t="s">
        <v>352</v>
      </c>
      <c r="E92" s="26">
        <v>3521</v>
      </c>
      <c r="F92" s="26">
        <v>1300</v>
      </c>
      <c r="G92" s="26">
        <v>1995</v>
      </c>
      <c r="H92" s="26">
        <v>225</v>
      </c>
      <c r="I92" s="26">
        <v>175</v>
      </c>
      <c r="J92" s="26">
        <v>130</v>
      </c>
    </row>
    <row r="93" spans="1:10" x14ac:dyDescent="0.35">
      <c r="A93" s="26">
        <v>12</v>
      </c>
      <c r="B93" s="26">
        <v>17</v>
      </c>
      <c r="C93" s="26">
        <v>30</v>
      </c>
      <c r="D93" s="26" t="s">
        <v>353</v>
      </c>
      <c r="E93" s="26">
        <v>93694</v>
      </c>
      <c r="F93" s="26">
        <v>14450</v>
      </c>
      <c r="G93" s="26">
        <v>53780</v>
      </c>
      <c r="H93" s="26">
        <v>23790</v>
      </c>
      <c r="I93" s="26">
        <v>30100</v>
      </c>
      <c r="J93" s="26">
        <v>12215</v>
      </c>
    </row>
    <row r="94" spans="1:10" x14ac:dyDescent="0.35">
      <c r="A94" s="26">
        <v>12</v>
      </c>
      <c r="B94" s="26">
        <v>18</v>
      </c>
      <c r="C94" s="26">
        <v>1</v>
      </c>
      <c r="D94" s="26" t="s">
        <v>354</v>
      </c>
      <c r="E94" s="26">
        <v>4077</v>
      </c>
      <c r="F94" s="26">
        <v>585</v>
      </c>
      <c r="G94" s="26">
        <v>2150</v>
      </c>
      <c r="H94" s="26">
        <v>1255</v>
      </c>
      <c r="I94" s="26">
        <v>1620</v>
      </c>
      <c r="J94" s="26">
        <v>240</v>
      </c>
    </row>
    <row r="95" spans="1:10" x14ac:dyDescent="0.35">
      <c r="A95" s="26">
        <v>12</v>
      </c>
      <c r="B95" s="26">
        <v>18</v>
      </c>
      <c r="C95" s="26">
        <v>3</v>
      </c>
      <c r="D95" s="26" t="s">
        <v>355</v>
      </c>
      <c r="E95" s="26">
        <v>691</v>
      </c>
      <c r="F95" s="26">
        <v>270</v>
      </c>
      <c r="G95" s="26">
        <v>360</v>
      </c>
      <c r="H95" s="26">
        <v>65</v>
      </c>
      <c r="I95" s="26">
        <v>30</v>
      </c>
      <c r="J95" s="26">
        <v>0</v>
      </c>
    </row>
    <row r="96" spans="1:10" ht="15" thickBot="1" x14ac:dyDescent="0.4">
      <c r="A96" s="27">
        <v>12</v>
      </c>
      <c r="B96" s="27">
        <v>18</v>
      </c>
      <c r="C96" s="27">
        <v>6</v>
      </c>
      <c r="D96" s="27" t="s">
        <v>356</v>
      </c>
      <c r="E96" s="27">
        <v>2673</v>
      </c>
      <c r="F96" s="27">
        <v>415</v>
      </c>
      <c r="G96" s="27">
        <v>1495</v>
      </c>
      <c r="H96" s="27">
        <v>720</v>
      </c>
      <c r="I96" s="27">
        <v>1110</v>
      </c>
      <c r="J96" s="27">
        <v>110</v>
      </c>
    </row>
    <row r="97" ht="15" thickTop="1" x14ac:dyDescent="0.35"/>
  </sheetData>
  <sortState xmlns:xlrd2="http://schemas.microsoft.com/office/spreadsheetml/2017/richdata2" ref="A2:J4064">
    <sortCondition ref="C2:C4064"/>
  </sortState>
  <hyperlinks>
    <hyperlink ref="L2" location="Menu!A1" display="Main Menu" xr:uid="{4EAC1429-BFBC-4E31-8007-BE4170CE46D2}"/>
    <hyperlink ref="L4" location="'A1 Exercise'!A1" display="            A1            " xr:uid="{B346A5AB-1F05-4377-A9C4-45E4CF42357B}"/>
    <hyperlink ref="L5" location="'A4 Exercise'!A1" display="            A4            " xr:uid="{A161818F-2348-4488-8545-BDE510C13C28}"/>
    <hyperlink ref="L6" location="'B4 Exercise'!A1" display="B4" xr:uid="{1989FCAA-9A54-4B16-B9DD-4A6B3BD9E8E5}"/>
    <hyperlink ref="L7" location="'C1 Exercise'!A1" display="            C1            " xr:uid="{12B9B6E1-B6E1-4129-B06B-F1EB4DB31D78}"/>
    <hyperlink ref="L8" location="'C2 Instructions'!A1" display="            C2            " xr:uid="{2867A9ED-9B9D-4403-865C-038C430B325E}"/>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29">
    <tabColor rgb="FF7030A0"/>
  </sheetPr>
  <dimension ref="B1:H13"/>
  <sheetViews>
    <sheetView workbookViewId="0">
      <selection activeCell="E1" sqref="E1"/>
    </sheetView>
  </sheetViews>
  <sheetFormatPr defaultColWidth="11.453125" defaultRowHeight="14.5" x14ac:dyDescent="0.35"/>
  <cols>
    <col min="1" max="1" width="4.453125" style="50" customWidth="1"/>
    <col min="2" max="4" width="11.453125" style="50" customWidth="1"/>
    <col min="5" max="5" width="13.36328125" style="50" customWidth="1"/>
    <col min="6" max="8" width="11.453125" style="50" customWidth="1"/>
    <col min="9" max="16384" width="11.453125" style="50"/>
  </cols>
  <sheetData>
    <row r="1" spans="2:8" ht="18.5" x14ac:dyDescent="0.35">
      <c r="E1" s="80" t="s">
        <v>243</v>
      </c>
    </row>
    <row r="2" spans="2:8" ht="15" thickBot="1" x14ac:dyDescent="0.4"/>
    <row r="3" spans="2:8" x14ac:dyDescent="0.35">
      <c r="B3" s="55"/>
      <c r="C3" s="56"/>
      <c r="D3" s="56"/>
      <c r="E3" s="56"/>
      <c r="F3" s="56"/>
      <c r="G3" s="56"/>
      <c r="H3" s="57"/>
    </row>
    <row r="4" spans="2:8" ht="27.75" customHeight="1" x14ac:dyDescent="0.5">
      <c r="B4" s="132"/>
      <c r="E4" s="129" t="s">
        <v>142</v>
      </c>
      <c r="H4" s="60"/>
    </row>
    <row r="5" spans="2:8" x14ac:dyDescent="0.35">
      <c r="B5" s="59"/>
      <c r="E5" s="130" t="s">
        <v>143</v>
      </c>
      <c r="H5" s="60"/>
    </row>
    <row r="6" spans="2:8" x14ac:dyDescent="0.35">
      <c r="B6" s="59"/>
      <c r="H6" s="60"/>
    </row>
    <row r="7" spans="2:8" x14ac:dyDescent="0.35">
      <c r="B7" s="59"/>
      <c r="E7" s="54" t="s">
        <v>841</v>
      </c>
      <c r="H7" s="60"/>
    </row>
    <row r="8" spans="2:8" x14ac:dyDescent="0.35">
      <c r="B8" s="59"/>
      <c r="D8" s="53" t="s">
        <v>141</v>
      </c>
      <c r="E8" s="61" t="s">
        <v>152</v>
      </c>
      <c r="H8" s="60"/>
    </row>
    <row r="9" spans="2:8" x14ac:dyDescent="0.35">
      <c r="B9" s="59"/>
      <c r="D9" s="53"/>
      <c r="E9" s="130" t="s">
        <v>1294</v>
      </c>
      <c r="H9" s="60"/>
    </row>
    <row r="10" spans="2:8" x14ac:dyDescent="0.35">
      <c r="B10" s="59"/>
      <c r="E10" s="61"/>
      <c r="H10" s="60"/>
    </row>
    <row r="11" spans="2:8" x14ac:dyDescent="0.35">
      <c r="B11" s="59"/>
      <c r="E11" s="54" t="s">
        <v>191</v>
      </c>
      <c r="H11" s="60"/>
    </row>
    <row r="12" spans="2:8" x14ac:dyDescent="0.35">
      <c r="B12" s="59"/>
      <c r="E12" s="66" t="s">
        <v>190</v>
      </c>
      <c r="H12" s="60"/>
    </row>
    <row r="13" spans="2:8" ht="15" thickBot="1" x14ac:dyDescent="0.4">
      <c r="B13" s="62"/>
      <c r="C13" s="63"/>
      <c r="D13" s="64"/>
      <c r="E13" s="63"/>
      <c r="F13" s="63"/>
      <c r="G13" s="63"/>
      <c r="H13" s="65"/>
    </row>
  </sheetData>
  <hyperlinks>
    <hyperlink ref="E8" r:id="rId1" xr:uid="{00000000-0004-0000-1E00-000000000000}"/>
    <hyperlink ref="E1" location="Menu!A1" display="Main Menu" xr:uid="{F0FC0B9C-7613-4535-8A40-F398723B67C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EAC32667D32C14F983EFB875FC8A0D3" ma:contentTypeVersion="2" ma:contentTypeDescription="Create a new document." ma:contentTypeScope="" ma:versionID="c7cff91c9cc16427ff03deee990ee4f3">
  <xsd:schema xmlns:xsd="http://www.w3.org/2001/XMLSchema" xmlns:xs="http://www.w3.org/2001/XMLSchema" xmlns:p="http://schemas.microsoft.com/office/2006/metadata/properties" xmlns:ns3="44e5e325-dc3a-48be-9d3d-97e3e7d7c76c" targetNamespace="http://schemas.microsoft.com/office/2006/metadata/properties" ma:root="true" ma:fieldsID="d00560f22be41acf86d5ef8d4a8b1c8f" ns3:_="">
    <xsd:import namespace="44e5e325-dc3a-48be-9d3d-97e3e7d7c76c"/>
    <xsd:element name="properties">
      <xsd:complexType>
        <xsd:sequence>
          <xsd:element name="documentManagement">
            <xsd:complexType>
              <xsd:all>
                <xsd:element ref="ns3:SharedWithUsers" minOccurs="0"/>
                <xsd:element ref="ns3: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e5e325-dc3a-48be-9d3d-97e3e7d7c76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C78234-CA9E-494E-8C5F-EDC2E388942E}">
  <ds:schemaRefs>
    <ds:schemaRef ds:uri="http://schemas.microsoft.com/sharepoint/v3/contenttype/forms"/>
  </ds:schemaRefs>
</ds:datastoreItem>
</file>

<file path=customXml/itemProps2.xml><?xml version="1.0" encoding="utf-8"?>
<ds:datastoreItem xmlns:ds="http://schemas.openxmlformats.org/officeDocument/2006/customXml" ds:itemID="{B07C2B41-7F18-4BDA-80E0-288374571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e5e325-dc3a-48be-9d3d-97e3e7d7c7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62250C-5C33-4D3B-B1BC-4AA61F838871}">
  <ds:schemaRefs>
    <ds:schemaRef ds:uri="http://purl.org/dc/elements/1.1/"/>
    <ds:schemaRef ds:uri="http://purl.org/dc/dcmitype/"/>
    <ds:schemaRef ds:uri="http://purl.org/dc/term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44e5e325-dc3a-48be-9d3d-97e3e7d7c7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34</vt:i4>
      </vt:variant>
    </vt:vector>
  </HeadingPairs>
  <TitlesOfParts>
    <vt:vector size="63" baseType="lpstr">
      <vt:lpstr>Excel Magic</vt:lpstr>
      <vt:lpstr>Menu</vt:lpstr>
      <vt:lpstr>A1 Instructions</vt:lpstr>
      <vt:lpstr>A1 Exercise</vt:lpstr>
      <vt:lpstr>A2 Instructions</vt:lpstr>
      <vt:lpstr>A2 Exercise</vt:lpstr>
      <vt:lpstr>A3 Instructions</vt:lpstr>
      <vt:lpstr>A3 Exercise</vt:lpstr>
      <vt:lpstr>A4 Instructions</vt:lpstr>
      <vt:lpstr>A4 Exercise</vt:lpstr>
      <vt:lpstr>A5 Instructions</vt:lpstr>
      <vt:lpstr>A5 Exercise</vt:lpstr>
      <vt:lpstr>B1 Instructions</vt:lpstr>
      <vt:lpstr>B1 Exercise</vt:lpstr>
      <vt:lpstr>B2 Instructions</vt:lpstr>
      <vt:lpstr>B2 Exercise</vt:lpstr>
      <vt:lpstr>B3 Instructions</vt:lpstr>
      <vt:lpstr>B4 Instructions</vt:lpstr>
      <vt:lpstr>B4 Exercise</vt:lpstr>
      <vt:lpstr>C1 Instructions</vt:lpstr>
      <vt:lpstr>C1 Exercise</vt:lpstr>
      <vt:lpstr>C2 Instructions</vt:lpstr>
      <vt:lpstr>C2 Exercise</vt:lpstr>
      <vt:lpstr>C3 Instructions</vt:lpstr>
      <vt:lpstr>C3 Exercise</vt:lpstr>
      <vt:lpstr>C4 Instructions</vt:lpstr>
      <vt:lpstr>C4 Exercise</vt:lpstr>
      <vt:lpstr>2021 CSD</vt:lpstr>
      <vt:lpstr>ContactInfo</vt:lpstr>
      <vt:lpstr>DemoCode</vt:lpstr>
      <vt:lpstr>DemoDrop</vt:lpstr>
      <vt:lpstr>DemoPeople</vt:lpstr>
      <vt:lpstr>'B1 Exercise'!Exer1</vt:lpstr>
      <vt:lpstr>Exer1</vt:lpstr>
      <vt:lpstr>'B1 Exercise'!Exer2</vt:lpstr>
      <vt:lpstr>Exer2</vt:lpstr>
      <vt:lpstr>'B1 Exercise'!Exer3</vt:lpstr>
      <vt:lpstr>Exer3</vt:lpstr>
      <vt:lpstr>'B1 Exercise'!Exer4</vt:lpstr>
      <vt:lpstr>Exer4</vt:lpstr>
      <vt:lpstr>'B1 Exercise'!Exer5</vt:lpstr>
      <vt:lpstr>Exer5</vt:lpstr>
      <vt:lpstr>'B1 Exercise'!HowTo</vt:lpstr>
      <vt:lpstr>'B1 Instructions'!HowTo</vt:lpstr>
      <vt:lpstr>HowTo</vt:lpstr>
      <vt:lpstr>'B1 Exercise'!ImportantNotes</vt:lpstr>
      <vt:lpstr>'B1 Instructions'!ImportantNotes</vt:lpstr>
      <vt:lpstr>ImportantNotes</vt:lpstr>
      <vt:lpstr>mult</vt:lpstr>
      <vt:lpstr>'A4 Instructions'!OneCol</vt:lpstr>
      <vt:lpstr>'B1 Exercise'!Prerequesite</vt:lpstr>
      <vt:lpstr>'B1 Instructions'!Prerequesite</vt:lpstr>
      <vt:lpstr>Prerequesite</vt:lpstr>
      <vt:lpstr>ResetEx</vt:lpstr>
      <vt:lpstr>'B1 Exercise'!ThePoint</vt:lpstr>
      <vt:lpstr>'B1 Instructions'!ThePoint</vt:lpstr>
      <vt:lpstr>'B1 Exercise'!Top</vt:lpstr>
      <vt:lpstr>'B1 Instructions'!Top</vt:lpstr>
      <vt:lpstr>'B1 Exercise'!TopExercise</vt:lpstr>
      <vt:lpstr>TopExercise</vt:lpstr>
      <vt:lpstr>'A4 Instructions'!TwoCol</vt:lpstr>
      <vt:lpstr>Versus</vt:lpstr>
      <vt:lpstr>wildcards</vt:lpstr>
    </vt:vector>
  </TitlesOfParts>
  <Company>U de 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Julie Marcoux</dc:creator>
  <cp:lastModifiedBy>Julie Marcoux</cp:lastModifiedBy>
  <cp:lastPrinted>2016-05-27T13:47:06Z</cp:lastPrinted>
  <dcterms:created xsi:type="dcterms:W3CDTF">2012-04-11T14:41:36Z</dcterms:created>
  <dcterms:modified xsi:type="dcterms:W3CDTF">2026-06-09T11:06:14Z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0x010100AEAC32667D32C14F983EFB875FC8A0D3</vt:lpwstr>
  </property>
</Properties>
</file>