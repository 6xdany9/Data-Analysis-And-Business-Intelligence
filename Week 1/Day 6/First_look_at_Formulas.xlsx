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Danial\Data Analysis and Business Intelligence\Week 1\Day 6\"/>
    </mc:Choice>
  </mc:AlternateContent>
  <xr:revisionPtr revIDLastSave="0" documentId="13_ncr:1_{ADF8B72C-9864-4CD9-AD99-B35D1A22324C}" xr6:coauthVersionLast="47" xr6:coauthVersionMax="47" xr10:uidLastSave="{00000000-0000-0000-0000-000000000000}"/>
  <bookViews>
    <workbookView xWindow="-110" yWindow="-110" windowWidth="19420" windowHeight="10420" firstSheet="2" activeTab="4" xr2:uid="{C433E096-DA19-413A-99AD-EEDD70753A83}"/>
  </bookViews>
  <sheets>
    <sheet name="About" sheetId="14" r:id="rId1"/>
    <sheet name="Excel Formulas" sheetId="10" r:id="rId2"/>
    <sheet name="Quick Practice" sheetId="12" r:id="rId3"/>
    <sheet name="Instructions" sheetId="8" r:id="rId4"/>
    <sheet name="Exercise" sheetId="1" r:id="rId5"/>
    <sheet name="Printable Excel Formulas" sheetId="11" state="hidden" r:id="rId6"/>
  </sheets>
  <externalReferences>
    <externalReference r:id="rId7"/>
  </externalReferences>
  <definedNames>
    <definedName name="_xlnm._FilterDatabase" localSheetId="4" hidden="1">Exercise!$B$4:$H$64</definedName>
    <definedName name="Advanced_Tweaks">#REF!</definedName>
    <definedName name="Anatomie_d_une_formule">'[1]Useful Features'!#REF!</definedName>
    <definedName name="Anatomy_of_a_Formula" localSheetId="5">'Printable Excel Formulas'!$C$14</definedName>
    <definedName name="Anatomy_of_a_Formula">'Excel Formulas'!$C$24</definedName>
    <definedName name="Choisir_une_formule">'[1]Useful Features'!#REF!</definedName>
    <definedName name="Copying__Pasting__and_Dragging_Formulas" localSheetId="5">'Printable Excel Formulas'!$C$91</definedName>
    <definedName name="Copying__Pasting__and_Dragging_Formulas">'Excel Formulas'!$C$105</definedName>
    <definedName name="Creating_a_Pivot_Table_and_Pivot_Chart">#REF!</definedName>
    <definedName name="Creating_new_fields">#REF!</definedName>
    <definedName name="Entrer_et_visionner_une_formule">'[1]Useful Features'!#REF!</definedName>
    <definedName name="Formatting_a_Pivot_Chart">#REF!</definedName>
    <definedName name="Formules">'[1]Useful Features'!#REF!</definedName>
    <definedName name="Inserting_Formulas_in_a_worksheet" localSheetId="5">'Printable Excel Formulas'!$C$35</definedName>
    <definedName name="Inserting_Formulas_in_a_worksheet">'Excel Formulas'!$C$46</definedName>
    <definedName name="Langue_des_formules">'[1]Useful Features'!#REF!</definedName>
    <definedName name="Miow" localSheetId="0">'[1]Bonus Formulas'!$A$165</definedName>
    <definedName name="Miow" localSheetId="5">'Printable Excel Formulas'!$A$146</definedName>
    <definedName name="Miow">'Excel Formulas'!$A$163</definedName>
    <definedName name="Modifying_Chart_Types">#REF!</definedName>
    <definedName name="Names_in_Formulas" localSheetId="5">'Printable Excel Formulas'!$C$137</definedName>
    <definedName name="Names_in_Formulas">'Excel Formulas'!$C$153</definedName>
    <definedName name="Pivot_Charts">'[1]Useful Features'!#REF!</definedName>
    <definedName name="Pivot_Tables_and_Pivot_Charts">#REF!</definedName>
    <definedName name="_xlnm.Print_Area" localSheetId="1">'Excel Formulas'!$A$1:$D$167</definedName>
    <definedName name="_xlnm.Print_Area" localSheetId="3">Instructions!$A$1:$B$31</definedName>
    <definedName name="_xlnm.Print_Area" localSheetId="5">'Printable Excel Formulas'!$A$1:$C$150</definedName>
    <definedName name="Quick1">'Quick Practice'!$A$3</definedName>
    <definedName name="Quick2">'Quick Practice'!$A$21</definedName>
    <definedName name="Quick3">'Quick Practice'!$A$29</definedName>
    <definedName name="Quick4">'Quick Practice'!$A$44</definedName>
    <definedName name="Références_à_des_cellules">'[1]Useful Features'!#REF!</definedName>
    <definedName name="Relative_and_Absolute_Cell_Addresses_in_Formulas" localSheetId="5">'Printable Excel Formulas'!$C$122</definedName>
    <definedName name="Relative_and_Absolute_Cell_Addresses_in_Formulas">'Excel Formulas'!$C$137</definedName>
    <definedName name="Slicer_and_timelines">#REF!</definedName>
    <definedName name="Tables_pivots">'[1]Useful Features'!#REF!</definedName>
    <definedName name="TopMenu" localSheetId="5">'Printable Excel Formulas'!$C$2</definedName>
    <definedName name="TopMenu">'Excel Formulas'!$A$2</definedName>
    <definedName name="Viewing_and_Finding_Formulas" localSheetId="5">'Printable Excel Formulas'!$C$61</definedName>
    <definedName name="Viewing_and_Finding_Formulas">'Excel Formulas'!$C$71</definedName>
    <definedName name="What_is_a_Formula?" localSheetId="5">'Printable Excel Formulas'!$C$3</definedName>
    <definedName name="What_is_a_Formula?">'Excel Formulas'!$C$12</definedName>
    <definedName name="Working_with_Formulas" localSheetId="5">'Printable Excel Formulas'!$C$35</definedName>
    <definedName name="Working_with_Formulas">'Excel Formulas'!$C$46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1" l="1"/>
  <c r="H13" i="1"/>
  <c r="C20" i="1"/>
  <c r="H9" i="1"/>
  <c r="F20" i="1"/>
  <c r="F18" i="1"/>
  <c r="F19" i="1"/>
  <c r="F6" i="1"/>
  <c r="F7" i="1"/>
  <c r="F8" i="1"/>
  <c r="F9" i="1"/>
  <c r="F10" i="1"/>
  <c r="F11" i="1"/>
  <c r="F12" i="1"/>
  <c r="F13" i="1"/>
  <c r="F14" i="1"/>
  <c r="F15" i="1"/>
  <c r="F16" i="1"/>
  <c r="F17" i="1"/>
  <c r="F5" i="1"/>
  <c r="H5" i="1"/>
  <c r="D5" i="1"/>
  <c r="D6" i="1"/>
  <c r="D7" i="1"/>
  <c r="D8" i="1"/>
  <c r="D9" i="1"/>
  <c r="D10" i="1"/>
  <c r="D11" i="1"/>
  <c r="D12" i="1"/>
  <c r="D13" i="1"/>
  <c r="D14" i="1"/>
  <c r="D15" i="1"/>
  <c r="D16" i="1"/>
  <c r="D17" i="1"/>
  <c r="D18" i="1"/>
  <c r="D19" i="1"/>
  <c r="D20" i="1"/>
  <c r="E5" i="1"/>
  <c r="E6" i="1"/>
  <c r="E7" i="1"/>
  <c r="E8" i="1"/>
  <c r="E9" i="1"/>
  <c r="E10" i="1"/>
  <c r="E11" i="1"/>
  <c r="E12" i="1"/>
  <c r="E13" i="1"/>
  <c r="E14" i="1"/>
  <c r="E15" i="1"/>
  <c r="E16" i="1"/>
  <c r="E17" i="1"/>
  <c r="E18" i="1"/>
  <c r="E19" i="1"/>
  <c r="E20" i="1"/>
  <c r="E24" i="12"/>
  <c r="J15" i="12"/>
  <c r="J12" i="12"/>
  <c r="J9" i="12"/>
  <c r="A35" i="12"/>
  <c r="B35" i="12"/>
  <c r="C35" i="12"/>
  <c r="E35" i="12"/>
  <c r="G24" i="12"/>
  <c r="F12" i="12"/>
  <c r="J6" i="12"/>
  <c r="B146" i="10"/>
  <c r="B42" i="10"/>
  <c r="B150" i="11"/>
  <c r="B149" i="11"/>
  <c r="B135" i="11"/>
  <c r="B134" i="11"/>
  <c r="B133" i="11"/>
  <c r="B131" i="11"/>
  <c r="B130" i="11"/>
  <c r="B129" i="11"/>
  <c r="B32" i="11"/>
  <c r="B31" i="11"/>
  <c r="B30" i="11"/>
  <c r="B29" i="11"/>
  <c r="B28" i="11"/>
  <c r="B24" i="11"/>
  <c r="B23" i="11"/>
  <c r="B22" i="11"/>
  <c r="B21" i="11"/>
  <c r="B20" i="11"/>
  <c r="B10" i="11"/>
  <c r="B6" i="11"/>
  <c r="B166" i="10"/>
  <c r="B167" i="10"/>
  <c r="B148" i="10"/>
  <c r="B144" i="10"/>
  <c r="B149" i="10"/>
  <c r="B150" i="10"/>
  <c r="B145" i="10"/>
  <c r="B41" i="10"/>
  <c r="B34" i="10"/>
  <c r="B40" i="10"/>
  <c r="B39" i="10"/>
  <c r="B38" i="10"/>
  <c r="B31" i="10"/>
  <c r="B32" i="10"/>
  <c r="B33" i="10"/>
  <c r="B30" i="10"/>
  <c r="B19" i="10"/>
  <c r="B15" i="10"/>
  <c r="E2" i="1"/>
</calcChain>
</file>

<file path=xl/sharedStrings.xml><?xml version="1.0" encoding="utf-8"?>
<sst xmlns="http://schemas.openxmlformats.org/spreadsheetml/2006/main" count="340" uniqueCount="238">
  <si>
    <t>Instructions</t>
  </si>
  <si>
    <t>Minutes elapsed</t>
  </si>
  <si>
    <t>Number of escaped pigeons by minute</t>
  </si>
  <si>
    <t>Profit loss by minute (version 1)</t>
  </si>
  <si>
    <t>Profit loss by minute (version 2)</t>
  </si>
  <si>
    <t>You left Dalhousie a year ago in order to start your own pigeon raising business. You had great hopes for your pigeons. Unfortunately, the wind tore a hole in the roof of the shack where you were keeping them and despite your cries and your pleas, they all escaped.</t>
  </si>
  <si>
    <t>Your insurance company is asking a lot of questions, so you decide to use Excel to calculate your losses.</t>
  </si>
  <si>
    <t>Total:</t>
  </si>
  <si>
    <t>Double click on a few of the cells. What do you notice about the cell address?</t>
  </si>
  <si>
    <r>
      <t xml:space="preserve">Each pigeon was worth $2 of profit. You want to calculate your lost of profit. Start by entering the following formula in </t>
    </r>
    <r>
      <rPr>
        <b/>
        <sz val="11"/>
        <color rgb="FF7030A0"/>
        <rFont val="Calibri"/>
        <family val="2"/>
        <scheme val="minor"/>
      </rPr>
      <t>cell D5</t>
    </r>
    <r>
      <rPr>
        <b/>
        <sz val="11"/>
        <color theme="1"/>
        <rFont val="Calibri"/>
        <family val="2"/>
        <scheme val="minor"/>
      </rPr>
      <t xml:space="preserve"> of the Exercise worksheet: </t>
    </r>
    <r>
      <rPr>
        <b/>
        <sz val="11"/>
        <color rgb="FF7030A0"/>
        <rFont val="Calibri"/>
        <family val="2"/>
        <scheme val="minor"/>
      </rPr>
      <t>=C5*2</t>
    </r>
  </si>
  <si>
    <r>
      <t>Copy-paste the formula in the rest of the column - all the way to</t>
    </r>
    <r>
      <rPr>
        <b/>
        <sz val="11"/>
        <color rgb="FF7030A0"/>
        <rFont val="Calibri"/>
        <family val="2"/>
        <scheme val="minor"/>
      </rPr>
      <t xml:space="preserve"> row 19</t>
    </r>
    <r>
      <rPr>
        <b/>
        <sz val="11"/>
        <color theme="1"/>
        <rFont val="Calibri"/>
        <family val="2"/>
        <scheme val="minor"/>
      </rPr>
      <t>.</t>
    </r>
  </si>
  <si>
    <r>
      <t xml:space="preserve">Let's find the total number of escaped pigeons. In </t>
    </r>
    <r>
      <rPr>
        <b/>
        <sz val="11"/>
        <color rgb="FF7030A0"/>
        <rFont val="Calibri"/>
        <family val="2"/>
        <scheme val="minor"/>
      </rPr>
      <t>cell C20</t>
    </r>
    <r>
      <rPr>
        <b/>
        <sz val="11"/>
        <color theme="1"/>
        <rFont val="Calibri"/>
        <family val="2"/>
        <scheme val="minor"/>
      </rPr>
      <t xml:space="preserve">, write: </t>
    </r>
    <r>
      <rPr>
        <b/>
        <sz val="11"/>
        <color rgb="FF7030A0"/>
        <rFont val="Calibri"/>
        <family val="2"/>
        <scheme val="minor"/>
      </rPr>
      <t>=sum(</t>
    </r>
    <r>
      <rPr>
        <b/>
        <sz val="11"/>
        <color theme="1"/>
        <rFont val="Calibri"/>
        <family val="2"/>
        <scheme val="minor"/>
      </rPr>
      <t xml:space="preserve">    and click and drag the mouse to select </t>
    </r>
    <r>
      <rPr>
        <b/>
        <sz val="11"/>
        <color rgb="FF7030A0"/>
        <rFont val="Calibri"/>
        <family val="2"/>
        <scheme val="minor"/>
      </rPr>
      <t>rows C5 to C19</t>
    </r>
    <r>
      <rPr>
        <b/>
        <sz val="11"/>
        <color theme="1"/>
        <rFont val="Calibri"/>
        <family val="2"/>
        <scheme val="minor"/>
      </rPr>
      <t xml:space="preserve">. The formula should automatically fill in to reflect </t>
    </r>
    <r>
      <rPr>
        <b/>
        <sz val="11"/>
        <color rgb="FF7030A0"/>
        <rFont val="Calibri"/>
        <family val="2"/>
        <scheme val="minor"/>
      </rPr>
      <t>=sum(C5:C19</t>
    </r>
    <r>
      <rPr>
        <b/>
        <sz val="11"/>
        <color theme="1"/>
        <rFont val="Calibri"/>
        <family val="2"/>
        <scheme val="minor"/>
      </rPr>
      <t xml:space="preserve">  . Hit enter.</t>
    </r>
  </si>
  <si>
    <r>
      <t xml:space="preserve">Let's find the total amount of profit loss. In </t>
    </r>
    <r>
      <rPr>
        <b/>
        <sz val="11"/>
        <color rgb="FF7030A0"/>
        <rFont val="Calibri"/>
        <family val="2"/>
        <scheme val="minor"/>
      </rPr>
      <t>cell D20,</t>
    </r>
    <r>
      <rPr>
        <b/>
        <sz val="11"/>
        <color theme="1"/>
        <rFont val="Calibri"/>
        <family val="2"/>
        <scheme val="minor"/>
      </rPr>
      <t xml:space="preserve"> manually type in </t>
    </r>
    <r>
      <rPr>
        <b/>
        <sz val="11"/>
        <color rgb="FF7030A0"/>
        <rFont val="Calibri"/>
        <family val="2"/>
        <scheme val="minor"/>
      </rPr>
      <t xml:space="preserve">=sum(D5:D19) </t>
    </r>
    <r>
      <rPr>
        <b/>
        <sz val="11"/>
        <color theme="1"/>
        <rFont val="Calibri"/>
        <family val="2"/>
        <scheme val="minor"/>
      </rPr>
      <t>and hit enter.</t>
    </r>
  </si>
  <si>
    <t>Profit loss by minute (version 3)</t>
  </si>
  <si>
    <t>Tax rate</t>
  </si>
  <si>
    <t>Per Pigeon Profit Loss</t>
  </si>
  <si>
    <t>Total lost pigeons</t>
  </si>
  <si>
    <t>Total Profit loss</t>
  </si>
  <si>
    <r>
      <t xml:space="preserve">Let's highlight the total number of escaped pigeons. In </t>
    </r>
    <r>
      <rPr>
        <b/>
        <sz val="11"/>
        <color rgb="FF7030A0"/>
        <rFont val="Calibri"/>
        <family val="2"/>
        <scheme val="minor"/>
      </rPr>
      <t>cell H5</t>
    </r>
    <r>
      <rPr>
        <b/>
        <sz val="11"/>
        <color theme="1"/>
        <rFont val="Calibri"/>
        <family val="2"/>
        <scheme val="minor"/>
      </rPr>
      <t>, enter a formula that will give us the total number of escaped pigeons.</t>
    </r>
  </si>
  <si>
    <r>
      <t xml:space="preserve">Let's highlight the total profit loss. In </t>
    </r>
    <r>
      <rPr>
        <b/>
        <sz val="11"/>
        <color rgb="FF7030A0"/>
        <rFont val="Calibri"/>
        <family val="2"/>
        <scheme val="minor"/>
      </rPr>
      <t>cell H9</t>
    </r>
    <r>
      <rPr>
        <b/>
        <sz val="11"/>
        <color theme="1"/>
        <rFont val="Calibri"/>
        <family val="2"/>
        <scheme val="minor"/>
      </rPr>
      <t>, enter a formula that will give us the total profit loss.</t>
    </r>
  </si>
  <si>
    <t>Average lost pigeons a minute</t>
  </si>
  <si>
    <t>Highest profit loss in a minute</t>
  </si>
  <si>
    <r>
      <t>You realize that you forgot to take taxes into account. Add tax by adding a 1.15 tax rate multiplication in each cell in</t>
    </r>
    <r>
      <rPr>
        <b/>
        <sz val="11"/>
        <color rgb="FF7030A0"/>
        <rFont val="Calibri"/>
        <family val="2"/>
        <scheme val="minor"/>
      </rPr>
      <t xml:space="preserve"> range D5:D20</t>
    </r>
    <r>
      <rPr>
        <b/>
        <sz val="11"/>
        <color theme="1"/>
        <rFont val="Calibri"/>
        <family val="2"/>
        <scheme val="minor"/>
      </rPr>
      <t>. (Hint: fix the formula in D5, then copy-paste).</t>
    </r>
  </si>
  <si>
    <t>The insurance company calls you. Apparently, the profit loss per pigeon is actually a catastrophic 3.5, but the tax rate is only 14%. They might call you with another revision later. All these updates are getting in your way -- you want to get this done and start rebuilding your life!</t>
  </si>
  <si>
    <r>
      <t xml:space="preserve">Fix the formula in </t>
    </r>
    <r>
      <rPr>
        <b/>
        <sz val="11"/>
        <color rgb="FF7030A0"/>
        <rFont val="Calibri"/>
        <family val="2"/>
        <scheme val="minor"/>
      </rPr>
      <t>cell E5</t>
    </r>
    <r>
      <rPr>
        <b/>
        <sz val="11"/>
        <color theme="1"/>
        <rFont val="Calibri"/>
        <family val="2"/>
        <scheme val="minor"/>
      </rPr>
      <t xml:space="preserve"> by using absolute addresses for the profit loss and taxes and copy-paste to </t>
    </r>
    <r>
      <rPr>
        <b/>
        <sz val="11"/>
        <color rgb="FF7030A0"/>
        <rFont val="Calibri"/>
        <family val="2"/>
        <scheme val="minor"/>
      </rPr>
      <t>cell E20</t>
    </r>
    <r>
      <rPr>
        <b/>
        <sz val="11"/>
        <color theme="1"/>
        <rFont val="Calibri"/>
        <family val="2"/>
        <scheme val="minor"/>
      </rPr>
      <t>. Double-click on a few cells to see what happens.</t>
    </r>
  </si>
  <si>
    <r>
      <t>Update the formula in cell</t>
    </r>
    <r>
      <rPr>
        <b/>
        <sz val="11"/>
        <color rgb="FF7030A0"/>
        <rFont val="Calibri"/>
        <family val="2"/>
        <scheme val="minor"/>
      </rPr>
      <t xml:space="preserve"> H9</t>
    </r>
    <r>
      <rPr>
        <b/>
        <sz val="11"/>
        <color theme="1"/>
        <rFont val="Calibri"/>
        <family val="2"/>
        <scheme val="minor"/>
      </rPr>
      <t xml:space="preserve"> to grab our new total profit loss.</t>
    </r>
  </si>
  <si>
    <t>Formulas</t>
  </si>
  <si>
    <t>Formula</t>
  </si>
  <si>
    <t>Result</t>
  </si>
  <si>
    <t>For example, =2+3 makes Excel add 2 and 3 together, giving us "5" as a result.</t>
  </si>
  <si>
    <t>You can use '=' to make Excel calculate the result of most common numerical operations (and some string operations).</t>
  </si>
  <si>
    <t xml:space="preserve">But the true strength of formulas (also called functions) are special commands programmed by Excel. You summon these formulas by calling their name after the '=' sign. </t>
  </si>
  <si>
    <t>Anatomy of a Formula</t>
  </si>
  <si>
    <r>
      <rPr>
        <b/>
        <sz val="12"/>
        <rFont val="Calibri"/>
        <family val="2"/>
        <scheme val="minor"/>
      </rPr>
      <t>Scroll down</t>
    </r>
    <r>
      <rPr>
        <sz val="12"/>
        <rFont val="Calibri"/>
        <family val="2"/>
        <scheme val="minor"/>
      </rPr>
      <t xml:space="preserve"> after selecting item from menu -- desired instructions are at the bottom of the screen</t>
    </r>
  </si>
  <si>
    <r>
      <rPr>
        <b/>
        <sz val="12"/>
        <color rgb="FF00B050"/>
        <rFont val="Calibri"/>
        <family val="2"/>
        <scheme val="minor"/>
      </rPr>
      <t>=SUM</t>
    </r>
    <r>
      <rPr>
        <sz val="12"/>
        <color theme="1"/>
        <rFont val="Calibri"/>
        <family val="2"/>
        <scheme val="minor"/>
      </rPr>
      <t>(2,2,1)</t>
    </r>
  </si>
  <si>
    <r>
      <t xml:space="preserve">Next, enclosed in parenthesis, you have the </t>
    </r>
    <r>
      <rPr>
        <b/>
        <i/>
        <sz val="12"/>
        <color theme="4" tint="-0.499984740745262"/>
        <rFont val="Calibri"/>
        <family val="2"/>
        <scheme val="minor"/>
      </rPr>
      <t>arguments</t>
    </r>
    <r>
      <rPr>
        <i/>
        <sz val="12"/>
        <color theme="1"/>
        <rFont val="Calibri"/>
        <family val="2"/>
        <scheme val="minor"/>
      </rPr>
      <t xml:space="preserve"> of a formula, separated by commas.</t>
    </r>
  </si>
  <si>
    <t>Some arguments might be optional - when manually entering a formula, optional arguments will be indicated by brackets.</t>
  </si>
  <si>
    <t>Formulas generally require specific types of argument: numbers, text, cell ranges, boolean values, etc.</t>
  </si>
  <si>
    <t>For example, the sum formula uses numbers as its arguments, it won't work with text. It makes sense. How would you add up "cat" with 2 and 3?</t>
  </si>
  <si>
    <r>
      <rPr>
        <b/>
        <sz val="12"/>
        <color rgb="FF00B050"/>
        <rFont val="Calibri"/>
        <family val="2"/>
        <scheme val="minor"/>
      </rPr>
      <t>=</t>
    </r>
    <r>
      <rPr>
        <sz val="12"/>
        <color theme="1"/>
        <rFont val="Calibri"/>
        <family val="2"/>
        <scheme val="minor"/>
      </rPr>
      <t>2+3</t>
    </r>
  </si>
  <si>
    <r>
      <t>Formulas are commands used to manipulate data in Excel. They are introduced in a cell by using the '</t>
    </r>
    <r>
      <rPr>
        <b/>
        <i/>
        <sz val="12"/>
        <color rgb="FF00B050"/>
        <rFont val="Calibri"/>
        <family val="2"/>
        <scheme val="minor"/>
      </rPr>
      <t>=</t>
    </r>
    <r>
      <rPr>
        <i/>
        <sz val="12"/>
        <color theme="1"/>
        <rFont val="Calibri"/>
        <family val="2"/>
        <scheme val="minor"/>
      </rPr>
      <t>' symbol.</t>
    </r>
  </si>
  <si>
    <t>If cells in the cell range contain data of a different type from what is accepted by the argument, the formula will either ignore the incorrect input or fail.</t>
  </si>
  <si>
    <r>
      <rPr>
        <i/>
        <sz val="12"/>
        <rFont val="Calibri"/>
        <family val="2"/>
        <scheme val="minor"/>
      </rPr>
      <t xml:space="preserve">As long as all the cells contain the right type of value, </t>
    </r>
    <r>
      <rPr>
        <b/>
        <i/>
        <sz val="12"/>
        <color theme="7" tint="-0.499984740745262"/>
        <rFont val="Calibri"/>
        <family val="2"/>
        <scheme val="minor"/>
      </rPr>
      <t xml:space="preserve">cell ranges </t>
    </r>
    <r>
      <rPr>
        <i/>
        <sz val="12"/>
        <color theme="1"/>
        <rFont val="Calibri"/>
        <family val="2"/>
        <scheme val="minor"/>
      </rPr>
      <t xml:space="preserve">can also be used in formula arguments. In this example, </t>
    </r>
    <r>
      <rPr>
        <b/>
        <i/>
        <sz val="12"/>
        <color theme="7" tint="-0.499984740745262"/>
        <rFont val="Calibri"/>
        <family val="2"/>
        <scheme val="minor"/>
      </rPr>
      <t>B17:B20</t>
    </r>
    <r>
      <rPr>
        <i/>
        <sz val="12"/>
        <color theme="1"/>
        <rFont val="Calibri"/>
        <family val="2"/>
        <scheme val="minor"/>
      </rPr>
      <t xml:space="preserve"> means "start at B17 and keep going until you reach B20". This means that the formula adds up 2, the contents of B17 (1), the contents of B18 (2), and the contents of B19 (3).</t>
    </r>
  </si>
  <si>
    <r>
      <t xml:space="preserve">The result of a formula, what the formula </t>
    </r>
    <r>
      <rPr>
        <b/>
        <i/>
        <sz val="12"/>
        <color theme="1"/>
        <rFont val="Calibri"/>
        <family val="2"/>
        <scheme val="minor"/>
      </rPr>
      <t>returns</t>
    </r>
    <r>
      <rPr>
        <i/>
        <sz val="12"/>
        <color theme="1"/>
        <rFont val="Calibri"/>
        <family val="2"/>
        <scheme val="minor"/>
      </rPr>
      <t>, might be a number or a string of text or something else entirely.</t>
    </r>
  </si>
  <si>
    <t>For the purposes of this tutorial, 'formulas' will refer to the special commands programmed by Excel.</t>
  </si>
  <si>
    <r>
      <t xml:space="preserve">Formulas follow a specific structure. First, there is the '=' symbol and the </t>
    </r>
    <r>
      <rPr>
        <b/>
        <i/>
        <sz val="12"/>
        <color rgb="FF00B050"/>
        <rFont val="Calibri"/>
        <family val="2"/>
        <scheme val="minor"/>
      </rPr>
      <t xml:space="preserve">name </t>
    </r>
    <r>
      <rPr>
        <i/>
        <sz val="12"/>
        <color theme="1"/>
        <rFont val="Calibri"/>
        <family val="2"/>
        <scheme val="minor"/>
      </rPr>
      <t>of the function being called.</t>
    </r>
  </si>
  <si>
    <t>What is a Formula?</t>
  </si>
  <si>
    <r>
      <t>For example, the</t>
    </r>
    <r>
      <rPr>
        <b/>
        <i/>
        <sz val="12"/>
        <color rgb="FF00B050"/>
        <rFont val="Calibri"/>
        <family val="2"/>
        <scheme val="minor"/>
      </rPr>
      <t>SUM</t>
    </r>
    <r>
      <rPr>
        <i/>
        <sz val="12"/>
        <color theme="1"/>
        <rFont val="Calibri"/>
        <family val="2"/>
        <scheme val="minor"/>
      </rPr>
      <t xml:space="preserve"> function sums up all numbers separated by commas contained in the formula (delimited by parentheses) and returns the result.</t>
    </r>
  </si>
  <si>
    <r>
      <t>The</t>
    </r>
    <r>
      <rPr>
        <b/>
        <i/>
        <sz val="12"/>
        <color rgb="FF00B050"/>
        <rFont val="Calibri"/>
        <family val="2"/>
        <scheme val="minor"/>
      </rPr>
      <t>left</t>
    </r>
    <r>
      <rPr>
        <i/>
        <sz val="12"/>
        <color theme="1"/>
        <rFont val="Calibri"/>
        <family val="2"/>
        <scheme val="minor"/>
      </rPr>
      <t xml:space="preserve"> function has two arguments. First, it requires some sort of </t>
    </r>
    <r>
      <rPr>
        <b/>
        <i/>
        <sz val="12"/>
        <color theme="8" tint="-0.499984740745262"/>
        <rFont val="Calibri"/>
        <family val="2"/>
        <scheme val="minor"/>
      </rPr>
      <t>text.</t>
    </r>
    <r>
      <rPr>
        <i/>
        <sz val="12"/>
        <color theme="1"/>
        <rFont val="Calibri"/>
        <family val="2"/>
        <scheme val="minor"/>
      </rPr>
      <t xml:space="preserve"> In Excel formulas, text (also called strings) are enclosed in quotation marks. The second argument is optional. We provide the number of characters to extract in the string, starting from the left. If we don't specify a number of characters, "1" is chosen by default. This formula </t>
    </r>
    <r>
      <rPr>
        <b/>
        <i/>
        <sz val="12"/>
        <color theme="1"/>
        <rFont val="Calibri"/>
        <family val="2"/>
        <scheme val="minor"/>
      </rPr>
      <t>returns text</t>
    </r>
    <r>
      <rPr>
        <i/>
        <sz val="12"/>
        <color theme="1"/>
        <rFont val="Calibri"/>
        <family val="2"/>
        <scheme val="minor"/>
      </rPr>
      <t>. In the example, the letter in position 1 is extracted from "Excel is fun": "E".</t>
    </r>
  </si>
  <si>
    <r>
      <t xml:space="preserve">By supplying the optional argument, we tell Excel to return the </t>
    </r>
    <r>
      <rPr>
        <b/>
        <i/>
        <sz val="12"/>
        <color theme="5" tint="-0.499984740745262"/>
        <rFont val="Calibri"/>
        <family val="2"/>
        <scheme val="minor"/>
      </rPr>
      <t>first five letters</t>
    </r>
    <r>
      <rPr>
        <i/>
        <sz val="12"/>
        <color theme="1"/>
        <rFont val="Calibri"/>
        <family val="2"/>
        <scheme val="minor"/>
      </rPr>
      <t xml:space="preserve"> in "</t>
    </r>
    <r>
      <rPr>
        <b/>
        <i/>
        <sz val="12"/>
        <color theme="8" tint="-0.499984740745262"/>
        <rFont val="Calibri"/>
        <family val="2"/>
        <scheme val="minor"/>
      </rPr>
      <t>Excel is fun</t>
    </r>
    <r>
      <rPr>
        <i/>
        <sz val="12"/>
        <color theme="1"/>
        <rFont val="Calibri"/>
        <family val="2"/>
        <scheme val="minor"/>
      </rPr>
      <t>", starting from the left.</t>
    </r>
  </si>
  <si>
    <r>
      <t xml:space="preserve">Excel is perfectly happy with performing a </t>
    </r>
    <r>
      <rPr>
        <b/>
        <i/>
        <sz val="12"/>
        <color theme="7" tint="-0.499984740745262"/>
        <rFont val="Calibri"/>
        <family val="2"/>
        <scheme val="minor"/>
      </rPr>
      <t>mathematical operation</t>
    </r>
    <r>
      <rPr>
        <i/>
        <sz val="12"/>
        <color theme="1"/>
        <rFont val="Calibri"/>
        <family val="2"/>
        <scheme val="minor"/>
      </rPr>
      <t xml:space="preserve"> in an argument and using its result.</t>
    </r>
  </si>
  <si>
    <r>
      <t xml:space="preserve">As long as it returns a value of the right type, </t>
    </r>
    <r>
      <rPr>
        <b/>
        <i/>
        <sz val="12"/>
        <color theme="1"/>
        <rFont val="Calibri"/>
        <family val="2"/>
        <scheme val="minor"/>
      </rPr>
      <t>a formula can be used as the argument of another formula</t>
    </r>
    <r>
      <rPr>
        <i/>
        <sz val="12"/>
        <color theme="1"/>
        <rFont val="Calibri"/>
        <family val="2"/>
        <scheme val="minor"/>
      </rPr>
      <t>. For example, here we are using the string "</t>
    </r>
    <r>
      <rPr>
        <b/>
        <i/>
        <sz val="12"/>
        <color theme="8" tint="-0.499984740745262"/>
        <rFont val="Calibri"/>
        <family val="2"/>
        <scheme val="minor"/>
      </rPr>
      <t>Excel is fun</t>
    </r>
    <r>
      <rPr>
        <i/>
        <sz val="12"/>
        <color theme="1"/>
        <rFont val="Calibri"/>
        <family val="2"/>
        <scheme val="minor"/>
      </rPr>
      <t xml:space="preserve">" as our first argument. The next argument must be the </t>
    </r>
    <r>
      <rPr>
        <b/>
        <i/>
        <sz val="12"/>
        <color rgb="FF7030A0"/>
        <rFont val="Calibri"/>
        <family val="2"/>
        <scheme val="minor"/>
      </rPr>
      <t>number of characters we want to extract from the string</t>
    </r>
    <r>
      <rPr>
        <i/>
        <sz val="12"/>
        <color theme="1"/>
        <rFont val="Calibri"/>
        <family val="2"/>
        <scheme val="minor"/>
      </rPr>
      <t xml:space="preserve">. Instead of a number, we use  </t>
    </r>
    <r>
      <rPr>
        <b/>
        <i/>
        <sz val="12"/>
        <color rgb="FF7030A0"/>
        <rFont val="Calibri"/>
        <family val="2"/>
        <scheme val="minor"/>
      </rPr>
      <t>sum(2,3) to add together 2 and 3</t>
    </r>
    <r>
      <rPr>
        <i/>
        <sz val="12"/>
        <color theme="1"/>
        <rFont val="Calibri"/>
        <family val="2"/>
        <scheme val="minor"/>
      </rPr>
      <t xml:space="preserve">. That formula returns the number 5, which is then used to specify the number of characters to return in the </t>
    </r>
    <r>
      <rPr>
        <b/>
        <i/>
        <sz val="12"/>
        <color rgb="FF00B050"/>
        <rFont val="Calibri"/>
        <family val="2"/>
        <scheme val="minor"/>
      </rPr>
      <t>left</t>
    </r>
    <r>
      <rPr>
        <i/>
        <sz val="12"/>
        <color theme="1"/>
        <rFont val="Calibri"/>
        <family val="2"/>
        <scheme val="minor"/>
      </rPr>
      <t xml:space="preserve"> formula.</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</si>
  <si>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t>
    </r>
    <r>
      <rPr>
        <b/>
        <sz val="12"/>
        <color theme="1"/>
        <rFont val="Calibri"/>
        <family val="2"/>
        <scheme val="minor"/>
      </rPr>
      <t>)</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</si>
  <si>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3,1</t>
    </r>
    <r>
      <rPr>
        <b/>
        <sz val="12"/>
        <color theme="1"/>
        <rFont val="Calibri"/>
        <family val="2"/>
        <scheme val="minor"/>
      </rPr>
      <t>)</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</si>
  <si>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3,"cat"</t>
    </r>
    <r>
      <rPr>
        <b/>
        <sz val="12"/>
        <color theme="1"/>
        <rFont val="Calibri"/>
        <family val="2"/>
        <scheme val="minor"/>
      </rPr>
      <t>)</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</si>
  <si>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5" tint="-0.499984740745262"/>
        <rFont val="Calibri"/>
        <family val="2"/>
        <scheme val="minor"/>
      </rPr>
      <t>B17</t>
    </r>
    <r>
      <rPr>
        <b/>
        <sz val="12"/>
        <color theme="1"/>
        <rFont val="Calibri"/>
        <family val="2"/>
        <scheme val="minor"/>
      </rPr>
      <t>)</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</si>
  <si>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7" tint="-0.499984740745262"/>
        <rFont val="Calibri"/>
        <family val="2"/>
        <scheme val="minor"/>
      </rPr>
      <t>B17:B20</t>
    </r>
    <r>
      <rPr>
        <b/>
        <sz val="12"/>
        <color theme="1"/>
        <rFont val="Calibri"/>
        <family val="2"/>
        <scheme val="minor"/>
      </rPr>
      <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</si>
  <si>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</si>
  <si>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theme="5" tint="-0.499984740745262"/>
        <rFont val="Calibri"/>
        <family val="2"/>
        <scheme val="minor"/>
      </rPr>
      <t>5</t>
    </r>
    <r>
      <rPr>
        <sz val="12"/>
        <color theme="1"/>
        <rFont val="Calibri"/>
        <family val="2"/>
        <scheme val="minor"/>
      </rPr>
      <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</si>
  <si>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theme="7" tint="-0.499984740745262"/>
        <rFont val="Calibri"/>
        <family val="2"/>
        <scheme val="minor"/>
      </rPr>
      <t>2+3</t>
    </r>
    <r>
      <rPr>
        <sz val="12"/>
        <color theme="1"/>
        <rFont val="Calibri"/>
        <family val="2"/>
        <scheme val="minor"/>
      </rPr>
      <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</si>
  <si>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rgb="FF9933FF"/>
        <rFont val="Calibri"/>
        <family val="2"/>
        <scheme val="minor"/>
      </rPr>
      <t>sum(2,3)</t>
    </r>
    <r>
      <rPr>
        <sz val="12"/>
        <color theme="1"/>
        <rFont val="Calibri"/>
        <family val="2"/>
        <scheme val="minor"/>
      </rPr>
      <t>)</t>
    </r>
  </si>
  <si>
    <r>
      <rPr>
        <b/>
        <sz val="12"/>
        <color rgb="FF00B050"/>
        <rFont val="Calibri"/>
        <family val="2"/>
        <scheme val="minor"/>
      </rPr>
      <t>=LEFT</t>
    </r>
    <r>
      <rPr>
        <b/>
        <sz val="12"/>
        <color theme="8" tint="-0.499984740745262"/>
        <rFont val="Calibri"/>
        <family val="2"/>
        <scheme val="minor"/>
      </rPr>
      <t>("Wow"&amp;A30</t>
    </r>
    <r>
      <rPr>
        <sz val="12"/>
        <color theme="1"/>
        <rFont val="Calibri"/>
        <family val="2"/>
        <scheme val="minor"/>
      </rPr>
      <t>,</t>
    </r>
    <r>
      <rPr>
        <b/>
        <sz val="12"/>
        <color rgb="FF9933FF"/>
        <rFont val="Calibri"/>
        <family val="2"/>
        <scheme val="minor"/>
      </rPr>
      <t>sum(B17:B20)+1</t>
    </r>
    <r>
      <rPr>
        <sz val="12"/>
        <color theme="1"/>
        <rFont val="Calibri"/>
        <family val="2"/>
        <scheme val="minor"/>
      </rPr>
      <t>)</t>
    </r>
  </si>
  <si>
    <t>With arguments being able to contain cell addresses, cell ranges, mathematical operations, and other nested formulas, complexity quickly rises. It may be easiest to understand complex formulas by separately evaluating each argument - so remember to look for the commas. You could also try creating the simplest version of a formula before modifying its arguments for the desired effect.</t>
  </si>
  <si>
    <t>What is a formula?</t>
  </si>
  <si>
    <t>Anatomy of a formula</t>
  </si>
  <si>
    <t>Back to Top</t>
  </si>
  <si>
    <t>Select a cell. Write '=</t>
  </si>
  <si>
    <t>While actively manually typing in a formula, Excel will color code cell addresses in your formula, and will correspondingly color the cells at the specified addresses.</t>
  </si>
  <si>
    <t xml:space="preserve">Select a cell. Write =  </t>
  </si>
  <si>
    <t>Creates a formula without activating it, displays a formula without activating it. You won't get contextual help with building the formula, but you won't have to deal with error messages. When finished, remove the apostrophe to activate the formula.</t>
  </si>
  <si>
    <t>Select a cell. Formulas - Function Library</t>
  </si>
  <si>
    <t>Click on "Insert Function" to use a wizard to enter a formula. You can click on the arrows to select cells instead of manually inputting cell addresses. If you don't know what formula might fit your needs, you can also use Insert Function to search the formula library.</t>
  </si>
  <si>
    <t>Allows you to manually input a formula in Excel - Excel will try to guess the name of the formula as you type it. It will give a brief reminder of what should be inputted for each argument of the function. Optional arguments are given in brackets. Instead of manually typing in a cell address, you can select the desired cell or cells. Use quotation marks to enter text as an argument.</t>
  </si>
  <si>
    <t>Inserting Formulas in a worksheet</t>
  </si>
  <si>
    <t>Inserting formulas in a worksheet</t>
  </si>
  <si>
    <t>Viewing and Finding Formulas</t>
  </si>
  <si>
    <t>Viewing and finding formulas</t>
  </si>
  <si>
    <t>Double-clicking on a cell containing a formula</t>
  </si>
  <si>
    <t>Enables you to edit the formula. Will activate matching colors for the cell addresses and the concerned cells if the formula has references (addresses) to cells.</t>
  </si>
  <si>
    <t>Formulas - Formula Auditing</t>
  </si>
  <si>
    <t>Select the cell containing a formula you would like to trace, and click on "Trace Precedents" or "Trace Dependents" to view locations of cells involved in a formula, as well as cells belonging to formulas nested inside other formulas. Click on "Remove Arrows" to clear this view.</t>
  </si>
  <si>
    <t>Click on "Show Formulas" to toggle from viewing results of formulas, to viewing the formula itself in all cells of the worksheet. WARNING: this might have an irreversible impact on the formatting of your worksheet.</t>
  </si>
  <si>
    <t>Click on a cell - F5</t>
  </si>
  <si>
    <t>or</t>
  </si>
  <si>
    <t>Home - Editing</t>
  </si>
  <si>
    <t>Click on "Special" and select "formulas" to temporarily select all cells containing formulas in your worksheet. You can hit "enter" to navigate from cell to cell, format all cells that have formulas, etc.</t>
  </si>
  <si>
    <t>Copying, Pasting, and Dragging Formulas</t>
  </si>
  <si>
    <t>Copying, pasting, and dragging formulas</t>
  </si>
  <si>
    <t>Ctrl-C and Ctrl-V</t>
  </si>
  <si>
    <t>Keyboard shortcuts for copy-pasting. Works with formulas.</t>
  </si>
  <si>
    <t>=A106</t>
  </si>
  <si>
    <t>=A107</t>
  </si>
  <si>
    <t>=A108</t>
  </si>
  <si>
    <r>
      <t>For example, copying the formula in cell B106 (</t>
    </r>
    <r>
      <rPr>
        <i/>
        <sz val="12"/>
        <color theme="4" tint="-0.499984740745262"/>
        <rFont val="Calibri"/>
        <family val="2"/>
        <scheme val="minor"/>
      </rPr>
      <t>=A106</t>
    </r>
    <r>
      <rPr>
        <i/>
        <sz val="12"/>
        <color theme="1"/>
        <rFont val="Calibri"/>
        <family val="2"/>
        <scheme val="minor"/>
      </rPr>
      <t xml:space="preserve">) into the cells below will make the formula automatically jump rows: </t>
    </r>
    <r>
      <rPr>
        <i/>
        <sz val="12"/>
        <color theme="4" tint="-0.499984740745262"/>
        <rFont val="Calibri"/>
        <family val="2"/>
        <scheme val="minor"/>
      </rPr>
      <t>=A107</t>
    </r>
    <r>
      <rPr>
        <i/>
        <sz val="12"/>
        <color theme="1"/>
        <rFont val="Calibri"/>
        <family val="2"/>
        <scheme val="minor"/>
      </rPr>
      <t xml:space="preserve"> for B107, and </t>
    </r>
    <r>
      <rPr>
        <i/>
        <sz val="12"/>
        <color theme="4" tint="-0.499984740745262"/>
        <rFont val="Calibri"/>
        <family val="2"/>
        <scheme val="minor"/>
      </rPr>
      <t xml:space="preserve">=A108 </t>
    </r>
    <r>
      <rPr>
        <i/>
        <sz val="12"/>
        <color theme="1"/>
        <rFont val="Calibri"/>
        <family val="2"/>
        <scheme val="minor"/>
      </rPr>
      <t>for B108</t>
    </r>
  </si>
  <si>
    <t>When copy-pasting a formula that contains cell addresses, the formula will automatically change references to rows for each row where it is pasted, and will change references to columns for each columns where it is pasted.</t>
  </si>
  <si>
    <t>Copy-pasting. Works with formulas. The paste menu will have a few options - choose carefully.</t>
  </si>
  <si>
    <t>Right click on cell - Copy or Paste</t>
  </si>
  <si>
    <t>Dragging the fill handle</t>
  </si>
  <si>
    <t>Double-clicking on the fill handle</t>
  </si>
  <si>
    <t>About copy-pasted formulas</t>
  </si>
  <si>
    <t>Select a cell and drag the fill handle to copy-paste. Works with formulas.</t>
  </si>
  <si>
    <t>If working with a range of formulas, such as a table, double-clicking on the fill handle will fill out the rest of the row or column with the formula.</t>
  </si>
  <si>
    <t>To transform formulas back into values</t>
  </si>
  <si>
    <t>Select the formula or formulas. Copy using your favorite method. While the selection is still active, paste in place by selecting "paste as values". If using Ctrl-V to paste, you will temporarily be able to select "paste as values" from a tiny pop-up menu. Your formulas are gone, replaced by values.</t>
  </si>
  <si>
    <t>Relative and Absolute Cell Addresses in Formulas</t>
  </si>
  <si>
    <t>Relative and absolute cell addresses in formulas</t>
  </si>
  <si>
    <t>Cat</t>
  </si>
  <si>
    <r>
      <t>=LEFT(</t>
    </r>
    <r>
      <rPr>
        <b/>
        <sz val="12"/>
        <color theme="8" tint="-0.499984740745262"/>
        <rFont val="Calibri"/>
        <family val="2"/>
        <scheme val="minor"/>
      </rPr>
      <t>B138</t>
    </r>
    <r>
      <rPr>
        <sz val="12"/>
        <color theme="1"/>
        <rFont val="Calibri"/>
        <family val="2"/>
        <scheme val="minor"/>
      </rPr>
      <t>,</t>
    </r>
    <r>
      <rPr>
        <b/>
        <sz val="12"/>
        <color rgb="FFFFC000"/>
        <rFont val="Calibri"/>
        <family val="2"/>
        <scheme val="minor"/>
      </rPr>
      <t>B139</t>
    </r>
    <r>
      <rPr>
        <sz val="12"/>
        <color theme="1"/>
        <rFont val="Calibri"/>
        <family val="2"/>
        <scheme val="minor"/>
      </rPr>
      <t>)</t>
    </r>
  </si>
  <si>
    <r>
      <t>=LEFT(</t>
    </r>
    <r>
      <rPr>
        <b/>
        <sz val="12"/>
        <color theme="8" tint="-0.499984740745262"/>
        <rFont val="Calibri"/>
        <family val="2"/>
        <scheme val="minor"/>
      </rPr>
      <t>$B$138</t>
    </r>
    <r>
      <rPr>
        <sz val="12"/>
        <color theme="1"/>
        <rFont val="Calibri"/>
        <family val="2"/>
        <scheme val="minor"/>
      </rPr>
      <t>,</t>
    </r>
    <r>
      <rPr>
        <b/>
        <sz val="12"/>
        <color rgb="FFFFC000"/>
        <rFont val="Calibri"/>
        <family val="2"/>
        <scheme val="minor"/>
      </rPr>
      <t>B139</t>
    </r>
    <r>
      <rPr>
        <sz val="12"/>
        <color theme="1"/>
        <rFont val="Calibri"/>
        <family val="2"/>
        <scheme val="minor"/>
      </rPr>
      <t>)</t>
    </r>
  </si>
  <si>
    <r>
      <t>=LEFT(</t>
    </r>
    <r>
      <rPr>
        <b/>
        <sz val="12"/>
        <color rgb="FFFFC000"/>
        <rFont val="Calibri"/>
        <family val="2"/>
        <scheme val="minor"/>
      </rPr>
      <t>B139</t>
    </r>
    <r>
      <rPr>
        <sz val="12"/>
        <color theme="1"/>
        <rFont val="Calibri"/>
        <family val="2"/>
        <scheme val="minor"/>
      </rPr>
      <t>,</t>
    </r>
    <r>
      <rPr>
        <b/>
        <sz val="12"/>
        <color rgb="FF00B0F0"/>
        <rFont val="Calibri"/>
        <family val="2"/>
        <scheme val="minor"/>
      </rPr>
      <t>B140</t>
    </r>
    <r>
      <rPr>
        <sz val="12"/>
        <color theme="1"/>
        <rFont val="Calibri"/>
        <family val="2"/>
        <scheme val="minor"/>
      </rPr>
      <t>)</t>
    </r>
  </si>
  <si>
    <r>
      <t>=LEFT(</t>
    </r>
    <r>
      <rPr>
        <b/>
        <sz val="12"/>
        <color theme="8" tint="-0.499984740745262"/>
        <rFont val="Calibri"/>
        <family val="2"/>
        <scheme val="minor"/>
      </rPr>
      <t>$B$138</t>
    </r>
    <r>
      <rPr>
        <sz val="12"/>
        <color theme="1"/>
        <rFont val="Calibri"/>
        <family val="2"/>
        <scheme val="minor"/>
      </rPr>
      <t>,</t>
    </r>
    <r>
      <rPr>
        <b/>
        <sz val="12"/>
        <color rgb="FF00B0F0"/>
        <rFont val="Calibri"/>
        <family val="2"/>
        <scheme val="minor"/>
      </rPr>
      <t>B140</t>
    </r>
    <r>
      <rPr>
        <sz val="12"/>
        <color theme="1"/>
        <rFont val="Calibri"/>
        <family val="2"/>
        <scheme val="minor"/>
      </rPr>
      <t>)</t>
    </r>
  </si>
  <si>
    <r>
      <t>=LEFT(</t>
    </r>
    <r>
      <rPr>
        <b/>
        <sz val="12"/>
        <color rgb="FF00B0F0"/>
        <rFont val="Calibri"/>
        <family val="2"/>
        <scheme val="minor"/>
      </rPr>
      <t>B140</t>
    </r>
    <r>
      <rPr>
        <sz val="12"/>
        <color theme="1"/>
        <rFont val="Calibri"/>
        <family val="2"/>
        <scheme val="minor"/>
      </rPr>
      <t>,</t>
    </r>
    <r>
      <rPr>
        <b/>
        <sz val="12"/>
        <color rgb="FF00B050"/>
        <rFont val="Calibri"/>
        <family val="2"/>
        <scheme val="minor"/>
      </rPr>
      <t>B141</t>
    </r>
    <r>
      <rPr>
        <sz val="12"/>
        <color theme="1"/>
        <rFont val="Calibri"/>
        <family val="2"/>
        <scheme val="minor"/>
      </rPr>
      <t>)</t>
    </r>
  </si>
  <si>
    <r>
      <t>=LEFT(</t>
    </r>
    <r>
      <rPr>
        <b/>
        <sz val="12"/>
        <color theme="8" tint="-0.499984740745262"/>
        <rFont val="Calibri"/>
        <family val="2"/>
        <scheme val="minor"/>
      </rPr>
      <t>$B$138</t>
    </r>
    <r>
      <rPr>
        <sz val="12"/>
        <color theme="1"/>
        <rFont val="Calibri"/>
        <family val="2"/>
        <scheme val="minor"/>
      </rPr>
      <t>,</t>
    </r>
    <r>
      <rPr>
        <b/>
        <sz val="12"/>
        <color rgb="FF00B050"/>
        <rFont val="Calibri"/>
        <family val="2"/>
        <scheme val="minor"/>
      </rPr>
      <t>B141</t>
    </r>
    <r>
      <rPr>
        <sz val="12"/>
        <color theme="1"/>
        <rFont val="Calibri"/>
        <family val="2"/>
        <scheme val="minor"/>
      </rPr>
      <t>)</t>
    </r>
  </si>
  <si>
    <r>
      <t>When copy-pasting a formula that contains cell addresses, the formula will automatically change references to rows for each row where it is pasted, and will change references to columns for each columns where it is pasted.</t>
    </r>
    <r>
      <rPr>
        <b/>
        <i/>
        <sz val="12"/>
        <color theme="1"/>
        <rFont val="Calibri"/>
        <family val="2"/>
        <scheme val="minor"/>
      </rPr>
      <t xml:space="preserve">This is not always desired behavior </t>
    </r>
    <r>
      <rPr>
        <i/>
        <sz val="12"/>
        <color theme="1"/>
        <rFont val="Calibri"/>
        <family val="2"/>
        <scheme val="minor"/>
      </rPr>
      <t>and can be especially problematic in formulas that have ranges as arguments.</t>
    </r>
  </si>
  <si>
    <t>If we write our formula normally and copy-paste it, the location of the text (the first argument in the left function) moves down a row every time - not the behavior we wanted. Try double-clicking on B143, B144, and B145 to see what happened to the formula.</t>
  </si>
  <si>
    <t>If instead we use the "$" symbol before the column and row of the location of the text, the formula will correctly refer to B138 for the text argument even when copy-pasted. Try clicking on B147, B148 and B149 to see what happened to the formula.</t>
  </si>
  <si>
    <r>
      <t>For example, let's pretend we want to gradually expand the number of characters revealed in the word "</t>
    </r>
    <r>
      <rPr>
        <b/>
        <i/>
        <sz val="12"/>
        <color theme="8" tint="-0.499984740745262"/>
        <rFont val="Calibri"/>
        <family val="2"/>
        <scheme val="minor"/>
      </rPr>
      <t>Cat</t>
    </r>
    <r>
      <rPr>
        <i/>
        <sz val="12"/>
        <color theme="1"/>
        <rFont val="Calibri"/>
        <family val="2"/>
        <scheme val="minor"/>
      </rPr>
      <t xml:space="preserve">" in </t>
    </r>
    <r>
      <rPr>
        <b/>
        <i/>
        <sz val="12"/>
        <color theme="8" tint="-0.499984740745262"/>
        <rFont val="Calibri"/>
        <family val="2"/>
        <scheme val="minor"/>
      </rPr>
      <t xml:space="preserve">B138 </t>
    </r>
    <r>
      <rPr>
        <i/>
        <sz val="12"/>
        <rFont val="Calibri"/>
        <family val="2"/>
        <scheme val="minor"/>
      </rPr>
      <t>by using the numbers supplied in B139 to B141.</t>
    </r>
  </si>
  <si>
    <t>Names in Formulas</t>
  </si>
  <si>
    <t>Names in formulas</t>
  </si>
  <si>
    <t>Copy-Pasted Formula - Relative</t>
  </si>
  <si>
    <t>Copy-Pasted Formula - Absolute</t>
  </si>
  <si>
    <r>
      <rPr>
        <i/>
        <sz val="12"/>
        <color theme="1"/>
        <rFont val="Calibri"/>
        <family val="2"/>
        <scheme val="minor"/>
      </rPr>
      <t xml:space="preserve">In a cell address, the $ symbol before a column and/or before a row tells Excel that when the formula is copy-pasted in a different location, it must </t>
    </r>
    <r>
      <rPr>
        <b/>
        <i/>
        <sz val="12"/>
        <color theme="1"/>
        <rFont val="Calibri"/>
        <family val="2"/>
        <scheme val="minor"/>
      </rPr>
      <t xml:space="preserve">not </t>
    </r>
    <r>
      <rPr>
        <i/>
        <sz val="12"/>
        <color theme="1"/>
        <rFont val="Calibri"/>
        <family val="2"/>
        <scheme val="minor"/>
      </rPr>
      <t>adjust the formula for the number of columns or rows that it has been moved. This is known as an absolute address.</t>
    </r>
  </si>
  <si>
    <r>
      <t xml:space="preserve">However, as long as the content of a cell is of the type needed by the argument, </t>
    </r>
    <r>
      <rPr>
        <b/>
        <i/>
        <sz val="12"/>
        <color theme="1"/>
        <rFont val="Calibri"/>
        <family val="2"/>
        <scheme val="minor"/>
      </rPr>
      <t xml:space="preserve">formula arguments work with </t>
    </r>
    <r>
      <rPr>
        <b/>
        <i/>
        <sz val="12"/>
        <color theme="5" tint="-0.499984740745262"/>
        <rFont val="Calibri"/>
        <family val="2"/>
        <scheme val="minor"/>
      </rPr>
      <t>cell addresses</t>
    </r>
    <r>
      <rPr>
        <b/>
        <i/>
        <sz val="12"/>
        <color theme="1"/>
        <rFont val="Calibri"/>
        <family val="2"/>
        <scheme val="minor"/>
      </rPr>
      <t xml:space="preserve">. </t>
    </r>
    <r>
      <rPr>
        <i/>
        <sz val="12"/>
        <color theme="1"/>
        <rFont val="Calibri"/>
        <family val="2"/>
        <scheme val="minor"/>
      </rPr>
      <t>Here, cell B17 contains the number 1, so the formula adds 2 and 1. If the value located at a specified cell address changes, the formula results will automatically update!</t>
    </r>
  </si>
  <si>
    <t>My name is Miow</t>
  </si>
  <si>
    <t>Right Click - Define Name</t>
  </si>
  <si>
    <t>You can assign nicknames to cells, and use these nicknames instead of the cell addresses in formulas.</t>
  </si>
  <si>
    <t>Formulas - Defined Names</t>
  </si>
  <si>
    <t>LEFT(Miow,8)</t>
  </si>
  <si>
    <t>LEFT(A162,8)</t>
  </si>
  <si>
    <t>For example, we've assigned the name "Miow" to cell A162.</t>
  </si>
  <si>
    <t>The formula works whether we use the cell address or our nickname for the cell.</t>
  </si>
  <si>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5" tint="-0.499984740745262"/>
        <rFont val="Calibri"/>
        <family val="2"/>
        <scheme val="minor"/>
      </rPr>
      <t>B25</t>
    </r>
    <r>
      <rPr>
        <b/>
        <sz val="12"/>
        <color theme="1"/>
        <rFont val="Calibri"/>
        <family val="2"/>
        <scheme val="minor"/>
      </rPr>
      <t>)</t>
    </r>
  </si>
  <si>
    <r>
      <t xml:space="preserve">However, as long as the content of a cell is of the type needed by the argument, </t>
    </r>
    <r>
      <rPr>
        <b/>
        <i/>
        <sz val="12"/>
        <color theme="1"/>
        <rFont val="Calibri"/>
        <family val="2"/>
        <scheme val="minor"/>
      </rPr>
      <t xml:space="preserve">formula arguments work with </t>
    </r>
    <r>
      <rPr>
        <b/>
        <i/>
        <sz val="12"/>
        <color theme="5" tint="-0.499984740745262"/>
        <rFont val="Calibri"/>
        <family val="2"/>
        <scheme val="minor"/>
      </rPr>
      <t>cell addresses</t>
    </r>
    <r>
      <rPr>
        <b/>
        <i/>
        <sz val="12"/>
        <color theme="1"/>
        <rFont val="Calibri"/>
        <family val="2"/>
        <scheme val="minor"/>
      </rPr>
      <t xml:space="preserve">. </t>
    </r>
    <r>
      <rPr>
        <i/>
        <sz val="12"/>
        <color theme="1"/>
        <rFont val="Calibri"/>
        <family val="2"/>
        <scheme val="minor"/>
      </rPr>
      <t>Here, cell B25 contains the number 1, so the formula adds 2 and 1. If the value located at a specified cell address changes, the formula results will automatically update!</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</si>
  <si>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7" tint="-0.499984740745262"/>
        <rFont val="Calibri"/>
        <family val="2"/>
        <scheme val="minor"/>
      </rPr>
      <t>B25:B27</t>
    </r>
    <r>
      <rPr>
        <b/>
        <sz val="12"/>
        <color theme="1"/>
        <rFont val="Calibri"/>
        <family val="2"/>
        <scheme val="minor"/>
      </rPr>
      <t>)</t>
    </r>
  </si>
  <si>
    <r>
      <rPr>
        <i/>
        <sz val="12"/>
        <rFont val="Calibri"/>
        <family val="2"/>
        <scheme val="minor"/>
      </rPr>
      <t xml:space="preserve">As long as all the cells contain the right type of value, </t>
    </r>
    <r>
      <rPr>
        <b/>
        <i/>
        <sz val="12"/>
        <color theme="7" tint="-0.499984740745262"/>
        <rFont val="Calibri"/>
        <family val="2"/>
        <scheme val="minor"/>
      </rPr>
      <t xml:space="preserve">cell ranges </t>
    </r>
    <r>
      <rPr>
        <i/>
        <sz val="12"/>
        <color theme="1"/>
        <rFont val="Calibri"/>
        <family val="2"/>
        <scheme val="minor"/>
      </rPr>
      <t xml:space="preserve">can also be used in formula arguments. In this example, </t>
    </r>
    <r>
      <rPr>
        <b/>
        <i/>
        <sz val="12"/>
        <color theme="7" tint="-0.499984740745262"/>
        <rFont val="Calibri"/>
        <family val="2"/>
        <scheme val="minor"/>
      </rPr>
      <t>B25:B27</t>
    </r>
    <r>
      <rPr>
        <i/>
        <sz val="12"/>
        <color theme="1"/>
        <rFont val="Calibri"/>
        <family val="2"/>
        <scheme val="minor"/>
      </rPr>
      <t xml:space="preserve"> means "start at B25 and keep going until you reach B27". This means that the formula adds up 2, the contents of B25 (1), the contents of B26 (2), and the contents of B27 (3).</t>
    </r>
  </si>
  <si>
    <r>
      <t xml:space="preserve">As long as it returns a value of the right type, </t>
    </r>
    <r>
      <rPr>
        <b/>
        <i/>
        <sz val="12"/>
        <color theme="1"/>
        <rFont val="Calibri"/>
        <family val="2"/>
        <scheme val="minor"/>
      </rPr>
      <t>a formula can be used as the argument of another formula</t>
    </r>
    <r>
      <rPr>
        <i/>
        <sz val="12"/>
        <color theme="1"/>
        <rFont val="Calibri"/>
        <family val="2"/>
        <scheme val="minor"/>
      </rPr>
      <t>. For example, here we are using the string "</t>
    </r>
    <r>
      <rPr>
        <b/>
        <i/>
        <sz val="12"/>
        <color theme="8" tint="-0.499984740745262"/>
        <rFont val="Calibri"/>
        <family val="2"/>
        <scheme val="minor"/>
      </rPr>
      <t>Excel is fun</t>
    </r>
    <r>
      <rPr>
        <i/>
        <sz val="12"/>
        <color theme="1"/>
        <rFont val="Calibri"/>
        <family val="2"/>
        <scheme val="minor"/>
      </rPr>
      <t xml:space="preserve">" as our first argument. The next argument must be the </t>
    </r>
    <r>
      <rPr>
        <b/>
        <i/>
        <sz val="12"/>
        <color rgb="FF7030A0"/>
        <rFont val="Calibri"/>
        <family val="2"/>
        <scheme val="minor"/>
      </rPr>
      <t>number of characters we want to extract from the string</t>
    </r>
    <r>
      <rPr>
        <i/>
        <sz val="12"/>
        <color theme="1"/>
        <rFont val="Calibri"/>
        <family val="2"/>
        <scheme val="minor"/>
      </rPr>
      <t xml:space="preserve">. Instead of a number, we use </t>
    </r>
    <r>
      <rPr>
        <b/>
        <i/>
        <sz val="12"/>
        <color rgb="FF7030A0"/>
        <rFont val="Calibri"/>
        <family val="2"/>
        <scheme val="minor"/>
      </rPr>
      <t>sum(2,3) to add together 2 and 3</t>
    </r>
    <r>
      <rPr>
        <i/>
        <sz val="12"/>
        <color theme="1"/>
        <rFont val="Calibri"/>
        <family val="2"/>
        <scheme val="minor"/>
      </rPr>
      <t xml:space="preserve">. That formula returns the number 5, which is then used to specify the number of characters to return in the </t>
    </r>
    <r>
      <rPr>
        <b/>
        <i/>
        <sz val="12"/>
        <color rgb="FF00B050"/>
        <rFont val="Calibri"/>
        <family val="2"/>
        <scheme val="minor"/>
      </rPr>
      <t>left</t>
    </r>
    <r>
      <rPr>
        <i/>
        <sz val="12"/>
        <color theme="1"/>
        <rFont val="Calibri"/>
        <family val="2"/>
        <scheme val="minor"/>
      </rPr>
      <t xml:space="preserve"> formula.</t>
    </r>
  </si>
  <si>
    <r>
      <rPr>
        <b/>
        <sz val="12"/>
        <color rgb="FF00B050"/>
        <rFont val="Calibri"/>
        <family val="2"/>
        <scheme val="minor"/>
      </rPr>
      <t>=LEFT</t>
    </r>
    <r>
      <rPr>
        <b/>
        <sz val="12"/>
        <color theme="8" tint="-0.499984740745262"/>
        <rFont val="Calibri"/>
        <family val="2"/>
        <scheme val="minor"/>
      </rPr>
      <t>("Wow"&amp;A37</t>
    </r>
    <r>
      <rPr>
        <sz val="12"/>
        <color theme="1"/>
        <rFont val="Calibri"/>
        <family val="2"/>
        <scheme val="minor"/>
      </rPr>
      <t>,</t>
    </r>
    <r>
      <rPr>
        <b/>
        <sz val="12"/>
        <color rgb="FF9933FF"/>
        <rFont val="Calibri"/>
        <family val="2"/>
        <scheme val="minor"/>
      </rPr>
      <t>sum(B25:B27)+1</t>
    </r>
    <r>
      <rPr>
        <sz val="12"/>
        <color theme="1"/>
        <rFont val="Calibri"/>
        <family val="2"/>
        <scheme val="minor"/>
      </rPr>
      <t>)</t>
    </r>
  </si>
  <si>
    <t>=A109</t>
  </si>
  <si>
    <t>=A110</t>
  </si>
  <si>
    <r>
      <t>For example, copying the formula in cell B108 (</t>
    </r>
    <r>
      <rPr>
        <i/>
        <sz val="12"/>
        <color theme="4" tint="-0.499984740745262"/>
        <rFont val="Calibri"/>
        <family val="2"/>
        <scheme val="minor"/>
      </rPr>
      <t>=A108</t>
    </r>
    <r>
      <rPr>
        <i/>
        <sz val="12"/>
        <color theme="1"/>
        <rFont val="Calibri"/>
        <family val="2"/>
        <scheme val="minor"/>
      </rPr>
      <t xml:space="preserve">) into the cells below will make the formula automatically jump rows: </t>
    </r>
    <r>
      <rPr>
        <i/>
        <sz val="12"/>
        <color theme="4" tint="-0.499984740745262"/>
        <rFont val="Calibri"/>
        <family val="2"/>
        <scheme val="minor"/>
      </rPr>
      <t>=A109</t>
    </r>
    <r>
      <rPr>
        <i/>
        <sz val="12"/>
        <color theme="1"/>
        <rFont val="Calibri"/>
        <family val="2"/>
        <scheme val="minor"/>
      </rPr>
      <t xml:space="preserve"> for B109, and </t>
    </r>
    <r>
      <rPr>
        <i/>
        <sz val="12"/>
        <color theme="4" tint="-0.499984740745262"/>
        <rFont val="Calibri"/>
        <family val="2"/>
        <scheme val="minor"/>
      </rPr>
      <t xml:space="preserve">=A110 </t>
    </r>
    <r>
      <rPr>
        <i/>
        <sz val="12"/>
        <color theme="1"/>
        <rFont val="Calibri"/>
        <family val="2"/>
        <scheme val="minor"/>
      </rPr>
      <t>for B110</t>
    </r>
  </si>
  <si>
    <r>
      <t>For example, let's pretend we want to gradually expand the number of characters revealed in the word "</t>
    </r>
    <r>
      <rPr>
        <b/>
        <i/>
        <sz val="12"/>
        <color theme="8" tint="-0.499984740745262"/>
        <rFont val="Calibri"/>
        <family val="2"/>
        <scheme val="minor"/>
      </rPr>
      <t>Cat</t>
    </r>
    <r>
      <rPr>
        <i/>
        <sz val="12"/>
        <color theme="1"/>
        <rFont val="Calibri"/>
        <family val="2"/>
        <scheme val="minor"/>
      </rPr>
      <t xml:space="preserve">" in </t>
    </r>
    <r>
      <rPr>
        <b/>
        <i/>
        <sz val="12"/>
        <color theme="8" tint="-0.499984740745262"/>
        <rFont val="Calibri"/>
        <family val="2"/>
        <scheme val="minor"/>
      </rPr>
      <t xml:space="preserve">B139 </t>
    </r>
    <r>
      <rPr>
        <i/>
        <sz val="12"/>
        <rFont val="Calibri"/>
        <family val="2"/>
        <scheme val="minor"/>
      </rPr>
      <t>by using the numbers supplied in B140 to B142.</t>
    </r>
  </si>
  <si>
    <t>If we write our formula normally and copy-paste it, the location of the text (the first argument in the left function) moves down a row every time - not the behavior we wanted. Try double-clicking on B144, B145, and B146 to see what happened to the formula.</t>
  </si>
  <si>
    <t>If instead we use the "$" symbol before the column and row of the location of the text, the formula will correctly refer to B139 for the text argument even when copy-pasted. Try clicking on B148, B149 and B150 to see what happened to the formula.</t>
  </si>
  <si>
    <r>
      <t>=LEFT(</t>
    </r>
    <r>
      <rPr>
        <b/>
        <sz val="12"/>
        <color theme="8" tint="-0.499984740745262"/>
        <rFont val="Calibri"/>
        <family val="2"/>
        <scheme val="minor"/>
      </rPr>
      <t>B139</t>
    </r>
    <r>
      <rPr>
        <sz val="12"/>
        <color theme="1"/>
        <rFont val="Calibri"/>
        <family val="2"/>
        <scheme val="minor"/>
      </rPr>
      <t>,</t>
    </r>
    <r>
      <rPr>
        <b/>
        <sz val="12"/>
        <color rgb="FFFFC000"/>
        <rFont val="Calibri"/>
        <family val="2"/>
        <scheme val="minor"/>
      </rPr>
      <t>B140</t>
    </r>
    <r>
      <rPr>
        <sz val="12"/>
        <color theme="1"/>
        <rFont val="Calibri"/>
        <family val="2"/>
        <scheme val="minor"/>
      </rPr>
      <t>)</t>
    </r>
  </si>
  <si>
    <r>
      <t>=LEFT(</t>
    </r>
    <r>
      <rPr>
        <b/>
        <sz val="12"/>
        <color rgb="FFFFC000"/>
        <rFont val="Calibri"/>
        <family val="2"/>
        <scheme val="minor"/>
      </rPr>
      <t>B140</t>
    </r>
    <r>
      <rPr>
        <sz val="12"/>
        <color theme="1"/>
        <rFont val="Calibri"/>
        <family val="2"/>
        <scheme val="minor"/>
      </rPr>
      <t>,</t>
    </r>
    <r>
      <rPr>
        <b/>
        <sz val="12"/>
        <color rgb="FF00B0F0"/>
        <rFont val="Calibri"/>
        <family val="2"/>
        <scheme val="minor"/>
      </rPr>
      <t>B141</t>
    </r>
    <r>
      <rPr>
        <sz val="12"/>
        <color theme="1"/>
        <rFont val="Calibri"/>
        <family val="2"/>
        <scheme val="minor"/>
      </rPr>
      <t>)</t>
    </r>
  </si>
  <si>
    <r>
      <t>=LEFT(</t>
    </r>
    <r>
      <rPr>
        <b/>
        <sz val="12"/>
        <color rgb="FF00B0F0"/>
        <rFont val="Calibri"/>
        <family val="2"/>
        <scheme val="minor"/>
      </rPr>
      <t>B141</t>
    </r>
    <r>
      <rPr>
        <sz val="12"/>
        <color theme="1"/>
        <rFont val="Calibri"/>
        <family val="2"/>
        <scheme val="minor"/>
      </rPr>
      <t>,</t>
    </r>
    <r>
      <rPr>
        <b/>
        <sz val="12"/>
        <color rgb="FF00B050"/>
        <rFont val="Calibri"/>
        <family val="2"/>
        <scheme val="minor"/>
      </rPr>
      <t>B142</t>
    </r>
    <r>
      <rPr>
        <sz val="12"/>
        <color theme="1"/>
        <rFont val="Calibri"/>
        <family val="2"/>
        <scheme val="minor"/>
      </rPr>
      <t>)</t>
    </r>
  </si>
  <si>
    <r>
      <t>=LEFT(</t>
    </r>
    <r>
      <rPr>
        <b/>
        <sz val="12"/>
        <color theme="8" tint="-0.499984740745262"/>
        <rFont val="Calibri"/>
        <family val="2"/>
        <scheme val="minor"/>
      </rPr>
      <t>$B$139</t>
    </r>
    <r>
      <rPr>
        <sz val="12"/>
        <color theme="1"/>
        <rFont val="Calibri"/>
        <family val="2"/>
        <scheme val="minor"/>
      </rPr>
      <t>,</t>
    </r>
    <r>
      <rPr>
        <b/>
        <sz val="12"/>
        <color rgb="FFFFC000"/>
        <rFont val="Calibri"/>
        <family val="2"/>
        <scheme val="minor"/>
      </rPr>
      <t>B140</t>
    </r>
    <r>
      <rPr>
        <sz val="12"/>
        <color theme="1"/>
        <rFont val="Calibri"/>
        <family val="2"/>
        <scheme val="minor"/>
      </rPr>
      <t>)</t>
    </r>
  </si>
  <si>
    <r>
      <t>=LEFT(</t>
    </r>
    <r>
      <rPr>
        <b/>
        <sz val="12"/>
        <color theme="8" tint="-0.499984740745262"/>
        <rFont val="Calibri"/>
        <family val="2"/>
        <scheme val="minor"/>
      </rPr>
      <t>$B$139</t>
    </r>
    <r>
      <rPr>
        <sz val="12"/>
        <color theme="1"/>
        <rFont val="Calibri"/>
        <family val="2"/>
        <scheme val="minor"/>
      </rPr>
      <t>,</t>
    </r>
    <r>
      <rPr>
        <b/>
        <sz val="12"/>
        <color rgb="FF00B0F0"/>
        <rFont val="Calibri"/>
        <family val="2"/>
        <scheme val="minor"/>
      </rPr>
      <t>B141</t>
    </r>
    <r>
      <rPr>
        <sz val="12"/>
        <color theme="1"/>
        <rFont val="Calibri"/>
        <family val="2"/>
        <scheme val="minor"/>
      </rPr>
      <t>)</t>
    </r>
  </si>
  <si>
    <r>
      <t>=LEFT(</t>
    </r>
    <r>
      <rPr>
        <b/>
        <sz val="12"/>
        <color theme="8" tint="-0.499984740745262"/>
        <rFont val="Calibri"/>
        <family val="2"/>
        <scheme val="minor"/>
      </rPr>
      <t>$B$139</t>
    </r>
    <r>
      <rPr>
        <sz val="12"/>
        <color theme="1"/>
        <rFont val="Calibri"/>
        <family val="2"/>
        <scheme val="minor"/>
      </rPr>
      <t>,</t>
    </r>
    <r>
      <rPr>
        <b/>
        <sz val="12"/>
        <color rgb="FF00B050"/>
        <rFont val="Calibri"/>
        <family val="2"/>
        <scheme val="minor"/>
      </rPr>
      <t>B142</t>
    </r>
    <r>
      <rPr>
        <sz val="12"/>
        <color theme="1"/>
        <rFont val="Calibri"/>
        <family val="2"/>
        <scheme val="minor"/>
      </rPr>
      <t>)</t>
    </r>
  </si>
  <si>
    <r>
      <t>Find a formula that will return the biggest profit loss experienced in a single minute and enter it in</t>
    </r>
    <r>
      <rPr>
        <b/>
        <sz val="11"/>
        <color rgb="FF9933FF"/>
        <rFont val="Calibri"/>
        <family val="2"/>
        <scheme val="minor"/>
      </rPr>
      <t xml:space="preserve"> cell H17</t>
    </r>
    <r>
      <rPr>
        <b/>
        <sz val="11"/>
        <color theme="1"/>
        <rFont val="Calibri"/>
        <family val="2"/>
        <scheme val="minor"/>
      </rPr>
      <t>.</t>
    </r>
  </si>
  <si>
    <r>
      <t xml:space="preserve">Find a formula that will return the average pigeons lost in a minute and enter it in </t>
    </r>
    <r>
      <rPr>
        <b/>
        <sz val="11"/>
        <color rgb="FF9933FF"/>
        <rFont val="Calibri"/>
        <family val="2"/>
        <scheme val="minor"/>
      </rPr>
      <t>cell H13.</t>
    </r>
  </si>
  <si>
    <t>Relative and Absolute Cell Addresses or references in Formulas</t>
  </si>
  <si>
    <r>
      <t xml:space="preserve">Relative cell addresses/references: when copy-pasting a formula that contains cell addresses, the formula will automatically change (increment or decrement) references to rows for each row where it is pasted, and will change (increment or decrement) references to columns for each columns where it is pasted. </t>
    </r>
    <r>
      <rPr>
        <b/>
        <i/>
        <sz val="12"/>
        <color theme="1"/>
        <rFont val="Calibri"/>
        <family val="2"/>
        <scheme val="minor"/>
      </rPr>
      <t xml:space="preserve">This is not always desired behavior </t>
    </r>
    <r>
      <rPr>
        <i/>
        <sz val="12"/>
        <color theme="1"/>
        <rFont val="Calibri"/>
        <family val="2"/>
        <scheme val="minor"/>
      </rPr>
      <t>and can be especially problematic in formulas that require a constant or have ranges, rows, or arrays as arguments.</t>
    </r>
  </si>
  <si>
    <r>
      <rPr>
        <i/>
        <sz val="12"/>
        <color theme="1"/>
        <rFont val="Calibri"/>
        <family val="2"/>
        <scheme val="minor"/>
      </rPr>
      <t xml:space="preserve">In a cell address, the $ symbol before a column and/or before a row tells Excel that when the formula is copy-pasted in a different location, it must </t>
    </r>
    <r>
      <rPr>
        <b/>
        <i/>
        <sz val="12"/>
        <color theme="1"/>
        <rFont val="Calibri"/>
        <family val="2"/>
        <scheme val="minor"/>
      </rPr>
      <t xml:space="preserve">not </t>
    </r>
    <r>
      <rPr>
        <i/>
        <sz val="12"/>
        <color theme="1"/>
        <rFont val="Calibri"/>
        <family val="2"/>
        <scheme val="minor"/>
      </rPr>
      <t>adjust the formula for the number of columns or rows that it has been moved. This is known as an absolute address/reference. When manually typing in a formula in Windows, you can hit F4 (if available on your keyboard) on a cell address to toggle between row absolute reference, column absolute reference, row and column absolute reference, or relative references.</t>
    </r>
  </si>
  <si>
    <t>Click on a cell - Rename in box besides formula bar</t>
  </si>
  <si>
    <t>For example, we've assigned the name "Miow" to cell A163.</t>
  </si>
  <si>
    <t>LEFT(A163,8)</t>
  </si>
  <si>
    <r>
      <t>Enter the formula</t>
    </r>
    <r>
      <rPr>
        <b/>
        <sz val="11"/>
        <color rgb="FF7030A0"/>
        <rFont val="Calibri"/>
        <family val="2"/>
        <scheme val="minor"/>
      </rPr>
      <t xml:space="preserve"> =C5*</t>
    </r>
    <r>
      <rPr>
        <b/>
        <sz val="11"/>
        <color theme="5" tint="-0.499984740745262"/>
        <rFont val="Calibri"/>
        <family val="2"/>
        <scheme val="minor"/>
      </rPr>
      <t>C2</t>
    </r>
    <r>
      <rPr>
        <b/>
        <sz val="11"/>
        <color rgb="FF7030A0"/>
        <rFont val="Calibri"/>
        <family val="2"/>
        <scheme val="minor"/>
      </rPr>
      <t>*</t>
    </r>
    <r>
      <rPr>
        <b/>
        <sz val="11"/>
        <color rgb="FF0070C0"/>
        <rFont val="Calibri"/>
        <family val="2"/>
        <scheme val="minor"/>
      </rPr>
      <t>E2</t>
    </r>
    <r>
      <rPr>
        <b/>
        <sz val="11"/>
        <color rgb="FF7030A0"/>
        <rFont val="Calibri"/>
        <family val="2"/>
        <scheme val="minor"/>
      </rPr>
      <t xml:space="preserve"> </t>
    </r>
    <r>
      <rPr>
        <b/>
        <sz val="11"/>
        <color theme="1"/>
        <rFont val="Calibri"/>
        <family val="2"/>
        <scheme val="minor"/>
      </rPr>
      <t xml:space="preserve">in </t>
    </r>
    <r>
      <rPr>
        <b/>
        <sz val="11"/>
        <color rgb="FF7030A0"/>
        <rFont val="Calibri"/>
        <family val="2"/>
        <scheme val="minor"/>
      </rPr>
      <t>cell E5</t>
    </r>
    <r>
      <rPr>
        <b/>
        <sz val="11"/>
        <color theme="1"/>
        <rFont val="Calibri"/>
        <family val="2"/>
        <scheme val="minor"/>
      </rPr>
      <t>.</t>
    </r>
  </si>
  <si>
    <r>
      <t xml:space="preserve">Does </t>
    </r>
    <r>
      <rPr>
        <b/>
        <sz val="11"/>
        <color rgb="FF7030A0"/>
        <rFont val="Calibri"/>
        <family val="2"/>
        <scheme val="minor"/>
      </rPr>
      <t>column E</t>
    </r>
    <r>
      <rPr>
        <b/>
        <sz val="11"/>
        <color theme="1"/>
        <rFont val="Calibri"/>
        <family val="2"/>
        <scheme val="minor"/>
      </rPr>
      <t xml:space="preserve"> have the same values as </t>
    </r>
    <r>
      <rPr>
        <b/>
        <sz val="11"/>
        <color rgb="FF7030A0"/>
        <rFont val="Calibri"/>
        <family val="2"/>
        <scheme val="minor"/>
      </rPr>
      <t>column D</t>
    </r>
    <r>
      <rPr>
        <b/>
        <sz val="11"/>
        <color theme="1"/>
        <rFont val="Calibri"/>
        <family val="2"/>
        <scheme val="minor"/>
      </rPr>
      <t xml:space="preserve">? Yay! It worked?! Try changing the per profit loss in </t>
    </r>
    <r>
      <rPr>
        <b/>
        <sz val="11"/>
        <color theme="5" tint="-0.499984740745262"/>
        <rFont val="Calibri"/>
        <family val="2"/>
        <scheme val="minor"/>
      </rPr>
      <t>C2</t>
    </r>
    <r>
      <rPr>
        <b/>
        <sz val="11"/>
        <color rgb="FF7030A0"/>
        <rFont val="Calibri"/>
        <family val="2"/>
        <scheme val="minor"/>
      </rPr>
      <t xml:space="preserve"> </t>
    </r>
    <r>
      <rPr>
        <b/>
        <sz val="11"/>
        <color theme="1"/>
        <rFont val="Calibri"/>
        <family val="2"/>
        <scheme val="minor"/>
      </rPr>
      <t xml:space="preserve">to 3.5 and change the formula in </t>
    </r>
    <r>
      <rPr>
        <b/>
        <sz val="11"/>
        <color rgb="FF0070C0"/>
        <rFont val="Calibri"/>
        <family val="2"/>
        <scheme val="minor"/>
      </rPr>
      <t>E2</t>
    </r>
    <r>
      <rPr>
        <b/>
        <sz val="11"/>
        <color rgb="FF005E00"/>
        <rFont val="Calibri"/>
        <family val="2"/>
        <scheme val="minor"/>
      </rPr>
      <t xml:space="preserve"> </t>
    </r>
    <r>
      <rPr>
        <b/>
        <sz val="11"/>
        <color theme="1"/>
        <rFont val="Calibri"/>
        <family val="2"/>
        <scheme val="minor"/>
      </rPr>
      <t>to obtain a tax rate of 14% (change the 15 to a 14).</t>
    </r>
  </si>
  <si>
    <r>
      <t>Give the name "profitLoss" to</t>
    </r>
    <r>
      <rPr>
        <b/>
        <sz val="11"/>
        <color theme="5" tint="-0.499984740745262"/>
        <rFont val="Calibri"/>
        <family val="2"/>
        <scheme val="minor"/>
      </rPr>
      <t xml:space="preserve"> cell C2 </t>
    </r>
    <r>
      <rPr>
        <b/>
        <sz val="11"/>
        <color theme="1"/>
        <rFont val="Calibri"/>
        <family val="2"/>
        <scheme val="minor"/>
      </rPr>
      <t xml:space="preserve">and the name "tax" to </t>
    </r>
    <r>
      <rPr>
        <b/>
        <sz val="11"/>
        <color rgb="FF0070C0"/>
        <rFont val="Calibri"/>
        <family val="2"/>
        <scheme val="minor"/>
      </rPr>
      <t>cell E2</t>
    </r>
    <r>
      <rPr>
        <b/>
        <sz val="11"/>
        <color theme="1"/>
        <rFont val="Calibri"/>
        <family val="2"/>
        <scheme val="minor"/>
      </rPr>
      <t>.</t>
    </r>
  </si>
  <si>
    <r>
      <t>We'll start by entering a formula that refers to the constants in</t>
    </r>
    <r>
      <rPr>
        <i/>
        <sz val="11"/>
        <rFont val="Calibri"/>
        <family val="2"/>
        <scheme val="minor"/>
      </rPr>
      <t xml:space="preserve"> cells</t>
    </r>
    <r>
      <rPr>
        <b/>
        <i/>
        <sz val="11"/>
        <color rgb="FF7F3F00"/>
        <rFont val="Calibri"/>
        <family val="2"/>
        <scheme val="minor"/>
      </rPr>
      <t xml:space="preserve"> C2 </t>
    </r>
    <r>
      <rPr>
        <i/>
        <sz val="11"/>
        <rFont val="Calibri"/>
        <family val="2"/>
        <scheme val="minor"/>
      </rPr>
      <t>(per pigeon profit loss)</t>
    </r>
    <r>
      <rPr>
        <i/>
        <sz val="11"/>
        <color rgb="FF7030A0"/>
        <rFont val="Calibri"/>
        <family val="2"/>
        <scheme val="minor"/>
      </rPr>
      <t xml:space="preserve"> </t>
    </r>
    <r>
      <rPr>
        <i/>
        <sz val="11"/>
        <rFont val="Calibri"/>
        <family val="2"/>
        <scheme val="minor"/>
      </rPr>
      <t>and</t>
    </r>
    <r>
      <rPr>
        <i/>
        <sz val="11"/>
        <color rgb="FF0070C0"/>
        <rFont val="Calibri"/>
        <family val="2"/>
        <scheme val="minor"/>
      </rPr>
      <t xml:space="preserve"> </t>
    </r>
    <r>
      <rPr>
        <b/>
        <i/>
        <sz val="11"/>
        <color rgb="FF0070C0"/>
        <rFont val="Calibri"/>
        <family val="2"/>
        <scheme val="minor"/>
      </rPr>
      <t>E2</t>
    </r>
    <r>
      <rPr>
        <i/>
        <sz val="11"/>
        <rFont val="Calibri"/>
        <family val="2"/>
        <scheme val="minor"/>
      </rPr>
      <t xml:space="preserve"> (tax rate) </t>
    </r>
    <r>
      <rPr>
        <i/>
        <sz val="11"/>
        <color theme="1"/>
        <rFont val="Calibri"/>
        <family val="2"/>
        <scheme val="minor"/>
      </rPr>
      <t>to make sure that everything works okay, and then we'll update the profit loss and tax rate.</t>
    </r>
  </si>
  <si>
    <r>
      <t xml:space="preserve">If it's not already there (and seemingly correct), put a formula in </t>
    </r>
    <r>
      <rPr>
        <b/>
        <sz val="11"/>
        <color rgb="FF7030A0"/>
        <rFont val="Calibri"/>
        <family val="2"/>
        <scheme val="minor"/>
      </rPr>
      <t>cell E20</t>
    </r>
    <r>
      <rPr>
        <b/>
        <sz val="11"/>
        <color theme="1"/>
        <rFont val="Calibri"/>
        <family val="2"/>
        <scheme val="minor"/>
      </rPr>
      <t xml:space="preserve"> that calculates the profit loss total for </t>
    </r>
    <r>
      <rPr>
        <b/>
        <sz val="11"/>
        <color rgb="FF7030A0"/>
        <rFont val="Calibri"/>
        <family val="2"/>
        <scheme val="minor"/>
      </rPr>
      <t>column E</t>
    </r>
    <r>
      <rPr>
        <b/>
        <sz val="11"/>
        <color theme="1"/>
        <rFont val="Calibri"/>
        <family val="2"/>
        <scheme val="minor"/>
      </rPr>
      <t xml:space="preserve">. You can probably copy-paste from </t>
    </r>
    <r>
      <rPr>
        <b/>
        <sz val="11"/>
        <color rgb="FF7030A0"/>
        <rFont val="Calibri"/>
        <family val="2"/>
        <scheme val="minor"/>
      </rPr>
      <t>cell D20</t>
    </r>
    <r>
      <rPr>
        <b/>
        <sz val="11"/>
        <color theme="1"/>
        <rFont val="Calibri"/>
        <family val="2"/>
        <scheme val="minor"/>
      </rPr>
      <t>.</t>
    </r>
  </si>
  <si>
    <r>
      <t xml:space="preserve">Copy-paste the formula from </t>
    </r>
    <r>
      <rPr>
        <b/>
        <sz val="11"/>
        <color rgb="FF7030A0"/>
        <rFont val="Calibri"/>
        <family val="2"/>
        <scheme val="minor"/>
      </rPr>
      <t xml:space="preserve">cell E5 </t>
    </r>
    <r>
      <rPr>
        <b/>
        <sz val="11"/>
        <color theme="1"/>
        <rFont val="Calibri"/>
        <family val="2"/>
        <scheme val="minor"/>
      </rPr>
      <t xml:space="preserve">to </t>
    </r>
    <r>
      <rPr>
        <b/>
        <sz val="11"/>
        <color rgb="FF7030A0"/>
        <rFont val="Calibri"/>
        <family val="2"/>
        <scheme val="minor"/>
      </rPr>
      <t>cell E19 or E20</t>
    </r>
    <r>
      <rPr>
        <b/>
        <sz val="11"/>
        <color theme="1"/>
        <rFont val="Calibri"/>
        <family val="2"/>
        <scheme val="minor"/>
      </rPr>
      <t xml:space="preserve"> The results don't seem quite right, do they? Double-click on a few formulas to see what is going on.</t>
    </r>
  </si>
  <si>
    <r>
      <t xml:space="preserve">Enter a formula in </t>
    </r>
    <r>
      <rPr>
        <b/>
        <sz val="11"/>
        <color rgb="FF7030A0"/>
        <rFont val="Calibri"/>
        <family val="2"/>
        <scheme val="minor"/>
      </rPr>
      <t>cells F5 to F19 or F20</t>
    </r>
    <r>
      <rPr>
        <b/>
        <sz val="11"/>
        <color theme="1"/>
        <rFont val="Calibri"/>
        <family val="2"/>
        <scheme val="minor"/>
      </rPr>
      <t xml:space="preserve"> that uses cell names instead of cell addresses to calculate loss profit.</t>
    </r>
  </si>
  <si>
    <t>Quick practice</t>
  </si>
  <si>
    <t>1. Quick practice for: What is a formula? Anatomy of a formula. Inserting a formula.</t>
  </si>
  <si>
    <t>I have a "1"</t>
  </si>
  <si>
    <t>I need a "2"</t>
  </si>
  <si>
    <t>Type =1+2</t>
  </si>
  <si>
    <t>Type =A6+B6</t>
  </si>
  <si>
    <t>Type = then click on A6, then type +, then click on B6</t>
  </si>
  <si>
    <t>Type =sum(A6:B6)</t>
  </si>
  <si>
    <t>Type =sum( then click and drag from A6 to B6. Hit enter on your keyboard.</t>
  </si>
  <si>
    <t>Type or click and drag =sum(A6:C6)</t>
  </si>
  <si>
    <t>Type or click =A6*C6</t>
  </si>
  <si>
    <t>Type' =sum(A6:B6)</t>
  </si>
  <si>
    <t>Type or click =left(C6,1+1)</t>
  </si>
  <si>
    <t>Type or click =left(C6,C6)</t>
  </si>
  <si>
    <t>How many arguments does that formula have?</t>
  </si>
  <si>
    <t>Which arguments if any are optional arguments?</t>
  </si>
  <si>
    <t>Go to the formula library. Search for left. Put C6 in the first box, 1 in the second box.</t>
  </si>
  <si>
    <r>
      <t xml:space="preserve">Go to the formula library. Find a formula that returns the number of whole </t>
    </r>
    <r>
      <rPr>
        <b/>
        <i/>
        <u/>
        <sz val="11"/>
        <color theme="1" tint="0.34998626667073579"/>
        <rFont val="Calibri"/>
        <family val="2"/>
        <scheme val="minor"/>
      </rPr>
      <t>workdays</t>
    </r>
    <r>
      <rPr>
        <b/>
        <i/>
        <sz val="11"/>
        <color theme="1" tint="0.34998626667073579"/>
        <rFont val="Calibri"/>
        <family val="2"/>
        <scheme val="minor"/>
      </rPr>
      <t xml:space="preserve"> between two dates. Type the name of the formula below (no "=")</t>
    </r>
  </si>
  <si>
    <t>This is a date</t>
  </si>
  <si>
    <t>This is also a date</t>
  </si>
  <si>
    <t>Type or click =left(C6,sum(A6:B6))</t>
  </si>
  <si>
    <t>2. Quick practice for: Viewing and finding formulas</t>
  </si>
  <si>
    <t>:</t>
  </si>
  <si>
    <t>)</t>
  </si>
  <si>
    <t>Double click the below formula to reveal a bigger smiley face!</t>
  </si>
  <si>
    <t>Go to the Formulas ribbon and click on "Trace Precedents" once than twice.</t>
  </si>
  <si>
    <t>Click on "remove arrows" once done.</t>
  </si>
  <si>
    <t>3. Quick practice for: Copy-pasting formulas. Relative and absolute cell addresses</t>
  </si>
  <si>
    <t>I am a multiplier</t>
  </si>
  <si>
    <t>Copy-paste cell A35 to A40 by clicking and dragging!</t>
  </si>
  <si>
    <t>Copy-paste cell B35 by double-clicking (bottom right of cell)</t>
  </si>
  <si>
    <t>Copy-paste cell C35 using the technique of your choice</t>
  </si>
  <si>
    <t>Formula with relative cell references</t>
  </si>
  <si>
    <t>Formula with absolute cell references</t>
  </si>
  <si>
    <t>If you have Windows, click on the below formula and then click in various spots and click on "F4" (if available)</t>
  </si>
  <si>
    <t>Not possible for you? Practice manually putting in $.</t>
  </si>
  <si>
    <t>4. Quick practice for: Names</t>
  </si>
  <si>
    <t>I have a pigeon</t>
  </si>
  <si>
    <t>Pigeon</t>
  </si>
  <si>
    <t xml:space="preserve">Whoosh </t>
  </si>
  <si>
    <t>Name the below cell "Action" by clicking it and using the name manager in the formulas ribbon.</t>
  </si>
  <si>
    <t>Fly</t>
  </si>
  <si>
    <t>Name the below cell "Pigeon" by clicking on it and replacing "A47" with the name in the box besides the formular bar.</t>
  </si>
  <si>
    <t>What do pigeons like to do? Type =Pigeon&amp;Action after naming cells A47 and B47</t>
  </si>
  <si>
    <t>Profit loss (version 1)</t>
  </si>
  <si>
    <t>Profit loss (version 2)</t>
  </si>
  <si>
    <t>Profit loss (version 3)</t>
  </si>
  <si>
    <t>Finding helpful formulas</t>
  </si>
  <si>
    <t>Worksheets</t>
  </si>
  <si>
    <t>Description</t>
  </si>
  <si>
    <t>Exercise</t>
  </si>
  <si>
    <t>Copyright, usage, licenses</t>
  </si>
  <si>
    <t>This Excel file is shared under CC BY-NC 4.0</t>
  </si>
  <si>
    <t>CC BY-NC 4.0 link</t>
  </si>
  <si>
    <t>https://creativecommons.org/licenses/by-nc/4.0/</t>
  </si>
  <si>
    <t>Although you are not required to do so, if you decide to use this material to present, or you adapt it and redistribute it, I would appreciate an email at julie.marcoux@dal.ca so that I can mention it in my annual report.</t>
  </si>
  <si>
    <t>julie.marcoux@dal.ca</t>
  </si>
  <si>
    <t>Who put this Excel file together?</t>
  </si>
  <si>
    <t>Julie Marcoux, Data Librarian and GIS &amp; Data Coordinator, Dalhousie University</t>
  </si>
  <si>
    <t>Profile link (has contact info)</t>
  </si>
  <si>
    <t>https://dal.ca.libguides.com/prf.php?account_id=53640</t>
  </si>
  <si>
    <t>Last updated</t>
  </si>
  <si>
    <t>May 2026</t>
  </si>
  <si>
    <t>Excel Formulas</t>
  </si>
  <si>
    <t>Quick Practice</t>
  </si>
  <si>
    <t>IndirectDemo</t>
  </si>
  <si>
    <t>ProblemValues</t>
  </si>
  <si>
    <t>Quickly practice the content covered in this self-teaching file (in a workshop when prompted by the instructor, or on your own).</t>
  </si>
  <si>
    <t>Instructions on steps to apply, in order, to the Exercise spreadsheet to calculate profit loss from… pigeons that have escaped.</t>
  </si>
  <si>
    <t>Profit loss table. Follow the instructions from the instructions spreadsheet to make some calculations (and practice using formulas).</t>
  </si>
  <si>
    <t>Explanations and screenshots about what is a formula, the anatomy of a formula, how to insert formulas in a spreadsheet, viewing and finding formulas, copy-pasting formulas, relative and absolute cell addresses, and names in formulas.</t>
  </si>
  <si>
    <t>Examples of how formulas handle various problematic values in a data table.</t>
  </si>
  <si>
    <t>Example of how to use the indirect formula to automatically adjust a formula when rows are added to a table.</t>
  </si>
  <si>
    <t>First Look at Formulas Workshop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</si>
</sst>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52" x14ac:knownFonts="1">
    <font>
      <sz val="11"/>
      <color theme="1"/>
      <name val="Calibri"/>
      <family val="2"/>
      <scheme val="minor"/>
    </font>
    <font>
      <b/>
      <sz val="11"/>
      <color theme="1"/>
      <name val="Calibri"/>
      <family val="2"/>
      <scheme val="minor"/>
    </font>
    <font>
      <b/>
      <sz val="12"/>
      <color theme="1"/>
      <name val="Calibri"/>
      <family val="2"/>
      <scheme val="minor"/>
    </font>
    <font>
      <i/>
      <sz val="12"/>
      <color theme="1"/>
      <name val="Calibri"/>
      <family val="2"/>
      <scheme val="minor"/>
    </font>
    <font>
      <sz val="11"/>
      <color theme="6" tint="-0.499984740745262"/>
      <name val="Calibri"/>
      <family val="2"/>
      <scheme val="minor"/>
    </font>
    <font>
      <b/>
      <sz val="11"/>
      <color rgb="FF7030A0"/>
      <name val="Calibri"/>
      <family val="2"/>
      <scheme val="minor"/>
    </font>
    <font>
      <i/>
      <sz val="11"/>
      <color theme="1"/>
      <name val="Calibri"/>
      <family val="2"/>
      <scheme val="minor"/>
    </font>
    <font>
      <i/>
      <sz val="11"/>
      <color rgb="FF7030A0"/>
      <name val="Calibri"/>
      <family val="2"/>
      <scheme val="minor"/>
    </font>
    <font>
      <b/>
      <sz val="24"/>
      <color theme="1"/>
      <name val="Calibri"/>
      <family val="2"/>
      <scheme val="minor"/>
    </font>
    <font>
      <u/>
      <sz val="11"/>
      <color theme="10"/>
      <name val="Calibri"/>
      <family val="2"/>
      <scheme val="minor"/>
    </font>
    <font>
      <b/>
      <sz val="18"/>
      <color theme="1"/>
      <name val="Calibri"/>
      <family val="2"/>
      <scheme val="minor"/>
    </font>
    <font>
      <b/>
      <i/>
      <sz val="12"/>
      <color theme="1"/>
      <name val="Calibri"/>
      <family val="2"/>
      <scheme val="minor"/>
    </font>
    <font>
      <sz val="24"/>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2"/>
      <color rgb="FF00B050"/>
      <name val="Calibri"/>
      <family val="2"/>
      <scheme val="minor"/>
    </font>
    <font>
      <b/>
      <sz val="12"/>
      <color theme="4" tint="-0.499984740745262"/>
      <name val="Calibri"/>
      <family val="2"/>
      <scheme val="minor"/>
    </font>
    <font>
      <u/>
      <sz val="12"/>
      <color theme="10"/>
      <name val="Calibri"/>
      <family val="2"/>
      <scheme val="minor"/>
    </font>
    <font>
      <b/>
      <i/>
      <sz val="12"/>
      <color rgb="FF00B050"/>
      <name val="Calibri"/>
      <family val="2"/>
      <scheme val="minor"/>
    </font>
    <font>
      <b/>
      <i/>
      <sz val="12"/>
      <color theme="4" tint="-0.499984740745262"/>
      <name val="Calibri"/>
      <family val="2"/>
      <scheme val="minor"/>
    </font>
    <font>
      <b/>
      <sz val="12"/>
      <color theme="5" tint="-0.499984740745262"/>
      <name val="Calibri"/>
      <family val="2"/>
      <scheme val="minor"/>
    </font>
    <font>
      <b/>
      <i/>
      <sz val="12"/>
      <color theme="5" tint="-0.499984740745262"/>
      <name val="Calibri"/>
      <family val="2"/>
      <scheme val="minor"/>
    </font>
    <font>
      <b/>
      <sz val="12"/>
      <color theme="7" tint="-0.499984740745262"/>
      <name val="Calibri"/>
      <family val="2"/>
      <scheme val="minor"/>
    </font>
    <font>
      <b/>
      <i/>
      <sz val="12"/>
      <color theme="7" tint="-0.499984740745262"/>
      <name val="Calibri"/>
      <family val="2"/>
      <scheme val="minor"/>
    </font>
    <font>
      <i/>
      <sz val="12"/>
      <name val="Calibri"/>
      <family val="2"/>
      <scheme val="minor"/>
    </font>
    <font>
      <b/>
      <i/>
      <sz val="12"/>
      <color theme="8" tint="-0.499984740745262"/>
      <name val="Calibri"/>
      <family val="2"/>
      <scheme val="minor"/>
    </font>
    <font>
      <b/>
      <sz val="12"/>
      <color theme="8" tint="-0.499984740745262"/>
      <name val="Calibri"/>
      <family val="2"/>
      <scheme val="minor"/>
    </font>
    <font>
      <b/>
      <sz val="12"/>
      <color rgb="FF9933FF"/>
      <name val="Calibri"/>
      <family val="2"/>
      <scheme val="minor"/>
    </font>
    <font>
      <b/>
      <i/>
      <sz val="12"/>
      <color rgb="FF7030A0"/>
      <name val="Calibri"/>
      <family val="2"/>
      <scheme val="minor"/>
    </font>
    <font>
      <i/>
      <sz val="12"/>
      <color theme="4" tint="-0.499984740745262"/>
      <name val="Calibri"/>
      <family val="2"/>
      <scheme val="minor"/>
    </font>
    <font>
      <b/>
      <sz val="12"/>
      <color rgb="FF00B0F0"/>
      <name val="Calibri"/>
      <family val="2"/>
      <scheme val="minor"/>
    </font>
    <font>
      <b/>
      <sz val="12"/>
      <color rgb="FFFF9933"/>
      <name val="Calibri"/>
      <family val="2"/>
      <scheme val="minor"/>
    </font>
    <font>
      <b/>
      <sz val="12"/>
      <color rgb="FFFFC000"/>
      <name val="Calibri"/>
      <family val="2"/>
      <scheme val="minor"/>
    </font>
    <font>
      <b/>
      <sz val="11"/>
      <color rgb="FF9933FF"/>
      <name val="Calibri"/>
      <family val="2"/>
      <scheme val="minor"/>
    </font>
    <font>
      <b/>
      <sz val="12"/>
      <color rgb="FF005E00"/>
      <name val="Calibri"/>
      <family val="2"/>
      <scheme val="minor"/>
    </font>
    <font>
      <b/>
      <sz val="12"/>
      <color rgb="FF004E9A"/>
      <name val="Calibri"/>
      <family val="2"/>
      <scheme val="minor"/>
    </font>
    <font>
      <b/>
      <sz val="12"/>
      <color rgb="FF992E00"/>
      <name val="Calibri"/>
      <family val="2"/>
      <scheme val="minor"/>
    </font>
    <font>
      <sz val="18"/>
      <color theme="3"/>
      <name val="Calibri Light"/>
      <family val="2"/>
      <scheme val="major"/>
    </font>
    <font>
      <b/>
      <sz val="15"/>
      <color theme="3"/>
      <name val="Calibri"/>
      <family val="2"/>
      <scheme val="minor"/>
    </font>
    <font>
      <i/>
      <sz val="11"/>
      <color rgb="FF7F7F7F"/>
      <name val="Calibri"/>
      <family val="2"/>
      <scheme val="minor"/>
    </font>
    <font>
      <i/>
      <sz val="11"/>
      <name val="Calibri"/>
      <family val="2"/>
      <scheme val="minor"/>
    </font>
    <font>
      <b/>
      <sz val="11"/>
      <color rgb="FF005E00"/>
      <name val="Calibri"/>
      <family val="2"/>
      <scheme val="minor"/>
    </font>
    <font>
      <b/>
      <sz val="11"/>
      <color theme="5" tint="-0.499984740745262"/>
      <name val="Calibri"/>
      <family val="2"/>
      <scheme val="minor"/>
    </font>
    <font>
      <b/>
      <sz val="11"/>
      <color rgb="FF0070C0"/>
      <name val="Calibri"/>
      <family val="2"/>
      <scheme val="minor"/>
    </font>
    <font>
      <b/>
      <i/>
      <sz val="11"/>
      <color rgb="FF7F3F00"/>
      <name val="Calibri"/>
      <family val="2"/>
      <scheme val="minor"/>
    </font>
    <font>
      <i/>
      <sz val="11"/>
      <color rgb="FF0070C0"/>
      <name val="Calibri"/>
      <family val="2"/>
      <scheme val="minor"/>
    </font>
    <font>
      <b/>
      <i/>
      <sz val="11"/>
      <color rgb="FF0070C0"/>
      <name val="Calibri"/>
      <family val="2"/>
      <scheme val="minor"/>
    </font>
    <font>
      <b/>
      <sz val="18"/>
      <color theme="3"/>
      <name val="Calibri Light"/>
      <family val="2"/>
      <scheme val="major"/>
    </font>
    <font>
      <b/>
      <i/>
      <sz val="11"/>
      <color theme="1" tint="0.34998626667073579"/>
      <name val="Calibri"/>
      <family val="2"/>
      <scheme val="minor"/>
    </font>
    <font>
      <b/>
      <i/>
      <u/>
      <sz val="11"/>
      <color theme="1" tint="0.34998626667073579"/>
      <name val="Calibri"/>
      <family val="2"/>
      <scheme val="minor"/>
    </font>
    <font>
      <sz val="11"/>
      <color theme="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B1A0C7"/>
        <bgColor indexed="64"/>
      </patternFill>
    </fill>
    <fill>
      <patternFill patternType="solid">
        <fgColor theme="4" tint="0.79998168889431442"/>
        <bgColor indexed="64"/>
      </patternFill>
    </fill>
  </fills>
  <borders count="1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thick">
        <color theme="4"/>
      </bottom>
      <diagonal/>
    </border>
  </borders>
  <cellStyleXfs count="5">
    <xf numFmtId="0" fontId="0" fillId="0" borderId="0"/>
    <xf numFmtId="0" fontId="9" fillId="0" borderId="0" applyNumberFormat="0" applyFill="0" applyBorder="0" applyAlignment="0" applyProtection="0"/>
    <xf numFmtId="0" fontId="38" fillId="0" borderId="0" applyNumberFormat="0" applyFill="0" applyBorder="0" applyAlignment="0" applyProtection="0"/>
    <xf numFmtId="0" fontId="39" fillId="0" borderId="14" applyNumberFormat="0" applyFill="0" applyAlignment="0" applyProtection="0"/>
    <xf numFmtId="0" fontId="40" fillId="0" borderId="0" applyNumberFormat="0" applyFill="0" applyBorder="0" applyAlignment="0" applyProtection="0"/>
  </cellStyleXfs>
  <cellXfs count="101">
    <xf numFmtId="0" fontId="0" fillId="0" borderId="0" xfId="0"/>
    <xf numFmtId="22" fontId="0" fillId="0" borderId="0" xfId="0" applyNumberFormat="1"/>
    <xf numFmtId="0" fontId="0" fillId="0" borderId="0" xfId="0" applyAlignment="1">
      <alignment horizontal="center"/>
    </xf>
    <xf numFmtId="0" fontId="0" fillId="0" borderId="0" xfId="0" quotePrefix="1"/>
    <xf numFmtId="0" fontId="4" fillId="0" borderId="0" xfId="0" applyFont="1" applyAlignment="1">
      <alignment horizontal="center"/>
    </xf>
    <xf numFmtId="0" fontId="3" fillId="0" borderId="0" xfId="0" applyFont="1" applyAlignment="1">
      <alignment horizontal="center" wrapText="1"/>
    </xf>
    <xf numFmtId="0" fontId="2" fillId="2" borderId="0" xfId="0" applyFont="1" applyFill="1" applyAlignment="1">
      <alignment horizontal="center" wrapText="1"/>
    </xf>
    <xf numFmtId="0" fontId="1" fillId="0" borderId="0" xfId="0" applyFont="1" applyAlignment="1">
      <alignment wrapText="1"/>
    </xf>
    <xf numFmtId="0" fontId="0" fillId="0" borderId="0" xfId="0" applyAlignment="1">
      <alignment horizontal="center" wrapText="1"/>
    </xf>
    <xf numFmtId="0" fontId="0" fillId="0" borderId="0" xfId="0" applyAlignment="1">
      <alignment wrapText="1"/>
    </xf>
    <xf numFmtId="164" fontId="0" fillId="0" borderId="0" xfId="0" applyNumberFormat="1"/>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wrapText="1"/>
    </xf>
    <xf numFmtId="0" fontId="0" fillId="0" borderId="5" xfId="0"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1" fillId="0" borderId="7" xfId="0" applyFont="1" applyBorder="1" applyAlignment="1">
      <alignment horizontal="center"/>
    </xf>
    <xf numFmtId="165" fontId="0" fillId="3" borderId="5" xfId="0" applyNumberFormat="1" applyFill="1" applyBorder="1"/>
    <xf numFmtId="165" fontId="0" fillId="3" borderId="6" xfId="0" applyNumberFormat="1" applyFill="1" applyBorder="1"/>
    <xf numFmtId="0" fontId="1" fillId="3" borderId="8" xfId="0" applyFont="1" applyFill="1" applyBorder="1" applyAlignment="1">
      <alignment horizontal="center"/>
    </xf>
    <xf numFmtId="0" fontId="1" fillId="0" borderId="11" xfId="0" applyFont="1" applyBorder="1" applyAlignment="1">
      <alignment horizontal="center" vertical="center" wrapText="1"/>
    </xf>
    <xf numFmtId="165" fontId="0" fillId="3" borderId="12" xfId="0" applyNumberFormat="1" applyFill="1" applyBorder="1"/>
    <xf numFmtId="0" fontId="1" fillId="0" borderId="0" xfId="0" applyFont="1" applyAlignment="1">
      <alignment horizontal="center" vertical="center"/>
    </xf>
    <xf numFmtId="0" fontId="1" fillId="4" borderId="0" xfId="0" applyFont="1" applyFill="1" applyAlignment="1">
      <alignment horizontal="center"/>
    </xf>
    <xf numFmtId="0" fontId="1" fillId="4" borderId="0" xfId="0" applyFont="1" applyFill="1" applyAlignment="1">
      <alignment horizontal="center" wrapText="1"/>
    </xf>
    <xf numFmtId="165" fontId="1" fillId="4" borderId="0" xfId="0" applyNumberFormat="1" applyFont="1" applyFill="1" applyAlignment="1">
      <alignment horizontal="center"/>
    </xf>
    <xf numFmtId="165" fontId="0" fillId="4" borderId="0" xfId="0" applyNumberFormat="1" applyFill="1"/>
    <xf numFmtId="0" fontId="0" fillId="0" borderId="13" xfId="0" applyBorder="1"/>
    <xf numFmtId="0" fontId="0" fillId="5" borderId="0" xfId="0" applyFill="1"/>
    <xf numFmtId="0" fontId="2" fillId="0" borderId="0" xfId="0" quotePrefix="1" applyFont="1" applyAlignment="1">
      <alignment horizontal="right" vertical="center"/>
    </xf>
    <xf numFmtId="0" fontId="8" fillId="0" borderId="0" xfId="0" applyFont="1" applyAlignment="1">
      <alignment horizontal="center" vertical="center"/>
    </xf>
    <xf numFmtId="0" fontId="12" fillId="0" borderId="0" xfId="0" applyFont="1"/>
    <xf numFmtId="0" fontId="13" fillId="5" borderId="0" xfId="0" applyFont="1" applyFill="1" applyAlignment="1">
      <alignment horizontal="center" vertical="center"/>
    </xf>
    <xf numFmtId="0" fontId="14" fillId="0" borderId="0" xfId="1" applyFont="1" applyAlignment="1">
      <alignment horizontal="center" vertical="center"/>
    </xf>
    <xf numFmtId="0" fontId="18" fillId="0" borderId="0" xfId="1" applyFont="1" applyAlignment="1">
      <alignment horizontal="center" vertical="center"/>
    </xf>
    <xf numFmtId="0" fontId="13" fillId="0" borderId="0" xfId="0" applyFont="1" applyAlignment="1">
      <alignment horizontal="center" vertical="center"/>
    </xf>
    <xf numFmtId="0" fontId="13" fillId="0" borderId="13" xfId="0" applyFont="1" applyBorder="1" applyAlignment="1">
      <alignment horizontal="center" vertical="center"/>
    </xf>
    <xf numFmtId="0" fontId="2" fillId="0" borderId="0" xfId="0" applyFont="1" applyAlignment="1">
      <alignment horizontal="center" vertical="center"/>
    </xf>
    <xf numFmtId="0" fontId="13" fillId="0" borderId="0" xfId="0" quotePrefix="1" applyFont="1" applyAlignment="1">
      <alignment horizontal="center" vertical="center"/>
    </xf>
    <xf numFmtId="0" fontId="14" fillId="0" borderId="0" xfId="0" applyFont="1" applyAlignment="1">
      <alignment horizontal="center" vertical="center"/>
    </xf>
    <xf numFmtId="0" fontId="14" fillId="0" borderId="0" xfId="1" applyFont="1" applyAlignment="1">
      <alignment horizontal="left" vertical="center"/>
    </xf>
    <xf numFmtId="0" fontId="13" fillId="0" borderId="0" xfId="0" quotePrefix="1" applyFont="1" applyAlignment="1">
      <alignment horizontal="right" vertical="center"/>
    </xf>
    <xf numFmtId="0" fontId="13" fillId="0" borderId="0" xfId="0" applyFont="1" applyAlignment="1">
      <alignment horizontal="right" vertical="center"/>
    </xf>
    <xf numFmtId="0" fontId="13" fillId="5" borderId="0" xfId="0" applyFont="1" applyFill="1" applyAlignment="1">
      <alignment horizontal="right" vertical="center"/>
    </xf>
    <xf numFmtId="0" fontId="13" fillId="0" borderId="13" xfId="0" applyFont="1" applyBorder="1" applyAlignment="1">
      <alignment horizontal="right" vertical="center"/>
    </xf>
    <xf numFmtId="0" fontId="2" fillId="0" borderId="0" xfId="0" applyFont="1" applyAlignment="1">
      <alignment horizontal="right" vertical="center"/>
    </xf>
    <xf numFmtId="49" fontId="10" fillId="0" borderId="13" xfId="0" applyNumberFormat="1" applyFont="1" applyBorder="1" applyAlignment="1">
      <alignment horizontal="left"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left" wrapText="1"/>
    </xf>
    <xf numFmtId="49" fontId="3" fillId="0" borderId="0" xfId="0" applyNumberFormat="1" applyFont="1" applyAlignment="1">
      <alignment wrapText="1"/>
    </xf>
    <xf numFmtId="49" fontId="3" fillId="5" borderId="0" xfId="0" applyNumberFormat="1" applyFont="1" applyFill="1" applyAlignment="1">
      <alignment vertical="center" wrapText="1"/>
    </xf>
    <xf numFmtId="49" fontId="11" fillId="0" borderId="0" xfId="0" applyNumberFormat="1" applyFont="1" applyAlignment="1">
      <alignment horizontal="center" wrapText="1"/>
    </xf>
    <xf numFmtId="0" fontId="9" fillId="0" borderId="0" xfId="1" applyAlignment="1">
      <alignment horizontal="left" vertical="center"/>
    </xf>
    <xf numFmtId="49" fontId="10" fillId="0" borderId="0" xfId="0" applyNumberFormat="1" applyFont="1" applyAlignment="1">
      <alignment horizontal="left" wrapText="1"/>
    </xf>
    <xf numFmtId="0" fontId="9" fillId="0" borderId="13" xfId="1" applyBorder="1"/>
    <xf numFmtId="49" fontId="11" fillId="0" borderId="0" xfId="0" applyNumberFormat="1" applyFont="1" applyAlignment="1">
      <alignment wrapText="1"/>
    </xf>
    <xf numFmtId="49" fontId="2" fillId="0" borderId="0" xfId="0" applyNumberFormat="1" applyFont="1" applyAlignment="1">
      <alignment wrapText="1"/>
    </xf>
    <xf numFmtId="49" fontId="3" fillId="0" borderId="0" xfId="0" applyNumberFormat="1" applyFont="1" applyAlignment="1">
      <alignment vertical="top" wrapText="1"/>
    </xf>
    <xf numFmtId="0" fontId="0" fillId="0" borderId="0" xfId="0" applyAlignment="1">
      <alignment vertical="center"/>
    </xf>
    <xf numFmtId="0" fontId="0" fillId="0" borderId="0" xfId="0" applyAlignment="1">
      <alignment vertical="center" wrapText="1"/>
    </xf>
    <xf numFmtId="0" fontId="14" fillId="0" borderId="0" xfId="0" quotePrefix="1" applyFont="1" applyAlignment="1">
      <alignment horizontal="right" vertical="center"/>
    </xf>
    <xf numFmtId="0" fontId="17" fillId="0" borderId="0" xfId="0" quotePrefix="1" applyFont="1" applyAlignment="1">
      <alignment horizontal="right" vertical="center"/>
    </xf>
    <xf numFmtId="0" fontId="17" fillId="0" borderId="0" xfId="0" applyFont="1" applyAlignment="1">
      <alignment horizontal="center" vertical="center"/>
    </xf>
    <xf numFmtId="0" fontId="31" fillId="0" borderId="0" xfId="0" applyFont="1" applyAlignment="1">
      <alignment horizontal="center" vertical="center"/>
    </xf>
    <xf numFmtId="0" fontId="16" fillId="0" borderId="0" xfId="0" applyFont="1" applyAlignment="1">
      <alignment horizontal="center" vertical="center"/>
    </xf>
    <xf numFmtId="0" fontId="32" fillId="0" borderId="0" xfId="0" applyFont="1" applyAlignment="1">
      <alignment horizontal="center" vertical="center"/>
    </xf>
    <xf numFmtId="0" fontId="14" fillId="0" borderId="13" xfId="0" applyFont="1" applyBorder="1" applyAlignment="1">
      <alignment horizontal="center" vertical="center"/>
    </xf>
    <xf numFmtId="0" fontId="8" fillId="0" borderId="0" xfId="0" applyFont="1" applyAlignment="1">
      <alignment horizontal="left" vertical="center"/>
    </xf>
    <xf numFmtId="0" fontId="6" fillId="0" borderId="0" xfId="0" applyFont="1" applyAlignment="1">
      <alignment horizontal="left" wrapText="1"/>
    </xf>
    <xf numFmtId="0" fontId="6" fillId="0" borderId="0" xfId="0" applyFont="1" applyAlignment="1">
      <alignment horizontal="left" vertical="top" wrapText="1"/>
    </xf>
    <xf numFmtId="4" fontId="0" fillId="4" borderId="0" xfId="0" applyNumberFormat="1" applyFill="1" applyAlignment="1">
      <alignment horizontal="center"/>
    </xf>
    <xf numFmtId="0" fontId="35"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48" fillId="0" borderId="0" xfId="2" applyFont="1"/>
    <xf numFmtId="0" fontId="39" fillId="0" borderId="14" xfId="3"/>
    <xf numFmtId="0" fontId="1" fillId="6" borderId="0" xfId="0" applyFont="1" applyFill="1" applyAlignment="1">
      <alignment horizontal="center"/>
    </xf>
    <xf numFmtId="0" fontId="49" fillId="0" borderId="0" xfId="4" applyFont="1" applyAlignment="1">
      <alignment horizontal="center" wrapText="1"/>
    </xf>
    <xf numFmtId="0" fontId="49" fillId="0" borderId="0" xfId="4" applyFont="1" applyAlignment="1">
      <alignment horizontal="left"/>
    </xf>
    <xf numFmtId="3" fontId="0" fillId="3" borderId="5" xfId="0" applyNumberFormat="1" applyFill="1" applyBorder="1" applyAlignment="1">
      <alignment horizontal="center"/>
    </xf>
    <xf numFmtId="0" fontId="1" fillId="6" borderId="0" xfId="0" applyFont="1" applyFill="1" applyAlignment="1">
      <alignment horizontal="center" wrapText="1"/>
    </xf>
    <xf numFmtId="15" fontId="0" fillId="0" borderId="0" xfId="0" applyNumberFormat="1" applyAlignment="1">
      <alignment horizontal="center"/>
    </xf>
    <xf numFmtId="3" fontId="0" fillId="3" borderId="5" xfId="0" quotePrefix="1" applyNumberFormat="1" applyFill="1" applyBorder="1" applyAlignment="1">
      <alignment horizontal="center"/>
    </xf>
    <xf numFmtId="0" fontId="51" fillId="0" borderId="0" xfId="0" applyFont="1"/>
    <xf numFmtId="0" fontId="9" fillId="0" borderId="0" xfId="1" applyAlignment="1">
      <alignment horizontal="center"/>
    </xf>
    <xf numFmtId="0" fontId="3" fillId="2" borderId="0" xfId="0" applyFont="1" applyFill="1" applyAlignment="1">
      <alignment horizontal="center" wrapText="1"/>
    </xf>
    <xf numFmtId="0" fontId="38" fillId="0" borderId="0" xfId="2"/>
    <xf numFmtId="0" fontId="39" fillId="0" borderId="14" xfId="3" applyAlignment="1">
      <alignment wrapText="1"/>
    </xf>
    <xf numFmtId="0" fontId="9" fillId="0" borderId="0" xfId="1"/>
    <xf numFmtId="0" fontId="9" fillId="0" borderId="0" xfId="1" applyAlignment="1">
      <alignment wrapText="1"/>
    </xf>
    <xf numFmtId="49" fontId="0" fillId="0" borderId="0" xfId="0" applyNumberFormat="1" applyAlignment="1">
      <alignment wrapText="1"/>
    </xf>
    <xf numFmtId="0" fontId="8" fillId="0" borderId="0" xfId="0" applyFont="1" applyAlignment="1">
      <alignment horizontal="center" vertical="center"/>
    </xf>
    <xf numFmtId="0" fontId="12" fillId="0" borderId="0" xfId="0" applyFont="1"/>
    <xf numFmtId="0" fontId="13" fillId="0" borderId="0" xfId="0" applyFont="1" applyAlignment="1">
      <alignment horizontal="right" vertical="center"/>
    </xf>
    <xf numFmtId="0" fontId="0" fillId="0" borderId="0" xfId="0" applyAlignment="1">
      <alignment vertical="center"/>
    </xf>
  </cellXfs>
  <cellStyles count="5">
    <cellStyle name="Explanatory Text" xfId="4" builtinId="53"/>
    <cellStyle name="Heading 1" xfId="3" builtinId="16"/>
    <cellStyle name="Hyperlink" xfId="1" builtinId="8"/>
    <cellStyle name="Normal" xfId="0" builtinId="0"/>
    <cellStyle name="Title" xfId="2" builtinId="15"/>
  </cellStyles>
  <dxfs count="0"/>
  <tableStyles count="0" defaultTableStyle="TableStyleMedium2" defaultPivotStyle="PivotStyleLight16"/>
  <colors>
    <mruColors>
      <color rgb="FF993366"/>
      <color rgb="FF9933FF"/>
      <color rgb="FFFF9933"/>
      <color rgb="FF331444"/>
      <color rgb="FFB1A0C7"/>
      <color rgb="FFB196A9"/>
      <color rgb="FFC489FF"/>
      <color rgb="FF0099CC"/>
      <color rgb="FFCCF7F8"/>
      <color rgb="FF1CC6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8.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21.png"/><Relationship Id="rId10" Type="http://schemas.openxmlformats.org/officeDocument/2006/relationships/image" Target="../media/image11.png"/><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9029699</xdr:colOff>
      <xdr:row>116</xdr:row>
      <xdr:rowOff>196494</xdr:rowOff>
    </xdr:from>
    <xdr:to>
      <xdr:col>2</xdr:col>
      <xdr:colOff>10067924</xdr:colOff>
      <xdr:row>121</xdr:row>
      <xdr:rowOff>123715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stretch>
          <a:fillRect/>
        </a:stretch>
      </xdr:blipFill>
      <xdr:spPr>
        <a:xfrm>
          <a:off x="12372974" y="28219044"/>
          <a:ext cx="1038225" cy="927346"/>
        </a:xfrm>
        <a:prstGeom prst="rect">
          <a:avLst/>
        </a:prstGeom>
      </xdr:spPr>
    </xdr:pic>
    <xdr:clientData/>
  </xdr:twoCellAnchor>
  <xdr:twoCellAnchor editAs="oneCell">
    <xdr:from>
      <xdr:col>2</xdr:col>
      <xdr:colOff>7610475</xdr:colOff>
      <xdr:row>19</xdr:row>
      <xdr:rowOff>104775</xdr:rowOff>
    </xdr:from>
    <xdr:to>
      <xdr:col>2</xdr:col>
      <xdr:colOff>9181904</xdr:colOff>
      <xdr:row>20</xdr:row>
      <xdr:rowOff>76179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9925050" y="3200400"/>
          <a:ext cx="1571429" cy="171429"/>
        </a:xfrm>
        <a:prstGeom prst="rect">
          <a:avLst/>
        </a:prstGeom>
        <a:ln>
          <a:solidFill>
            <a:sysClr val="windowText" lastClr="000000"/>
          </a:solidFill>
        </a:ln>
      </xdr:spPr>
    </xdr:pic>
    <xdr:clientData/>
  </xdr:twoCellAnchor>
  <xdr:twoCellAnchor editAs="oneCell">
    <xdr:from>
      <xdr:col>2</xdr:col>
      <xdr:colOff>8010525</xdr:colOff>
      <xdr:row>37</xdr:row>
      <xdr:rowOff>438150</xdr:rowOff>
    </xdr:from>
    <xdr:to>
      <xdr:col>2</xdr:col>
      <xdr:colOff>9286715</xdr:colOff>
      <xdr:row>37</xdr:row>
      <xdr:rowOff>571483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10325100" y="7534275"/>
          <a:ext cx="1276190" cy="133333"/>
        </a:xfrm>
        <a:prstGeom prst="rect">
          <a:avLst/>
        </a:prstGeom>
        <a:ln>
          <a:solidFill>
            <a:sysClr val="windowText" lastClr="000000"/>
          </a:solidFill>
        </a:ln>
      </xdr:spPr>
    </xdr:pic>
    <xdr:clientData/>
  </xdr:twoCellAnchor>
  <xdr:twoCellAnchor editAs="oneCell">
    <xdr:from>
      <xdr:col>2</xdr:col>
      <xdr:colOff>2981325</xdr:colOff>
      <xdr:row>47</xdr:row>
      <xdr:rowOff>438150</xdr:rowOff>
    </xdr:from>
    <xdr:to>
      <xdr:col>2</xdr:col>
      <xdr:colOff>4257515</xdr:colOff>
      <xdr:row>47</xdr:row>
      <xdr:rowOff>571483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276975" y="11858625"/>
          <a:ext cx="1276190" cy="133333"/>
        </a:xfrm>
        <a:prstGeom prst="rect">
          <a:avLst/>
        </a:prstGeom>
        <a:ln>
          <a:solidFill>
            <a:sysClr val="windowText" lastClr="000000"/>
          </a:solidFill>
        </a:ln>
      </xdr:spPr>
    </xdr:pic>
    <xdr:clientData/>
  </xdr:twoCellAnchor>
  <xdr:twoCellAnchor editAs="oneCell">
    <xdr:from>
      <xdr:col>2</xdr:col>
      <xdr:colOff>2409976</xdr:colOff>
      <xdr:row>49</xdr:row>
      <xdr:rowOff>57150</xdr:rowOff>
    </xdr:from>
    <xdr:to>
      <xdr:col>2</xdr:col>
      <xdr:colOff>5419725</xdr:colOff>
      <xdr:row>54</xdr:row>
      <xdr:rowOff>76200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5705626" y="12334875"/>
          <a:ext cx="3009749" cy="1019175"/>
        </a:xfrm>
        <a:prstGeom prst="rect">
          <a:avLst/>
        </a:prstGeom>
        <a:ln>
          <a:solidFill>
            <a:sysClr val="windowText" lastClr="000000"/>
          </a:solidFill>
        </a:ln>
      </xdr:spPr>
    </xdr:pic>
    <xdr:clientData/>
  </xdr:twoCellAnchor>
  <xdr:twoCellAnchor editAs="oneCell">
    <xdr:from>
      <xdr:col>1</xdr:col>
      <xdr:colOff>266700</xdr:colOff>
      <xdr:row>56</xdr:row>
      <xdr:rowOff>333375</xdr:rowOff>
    </xdr:from>
    <xdr:to>
      <xdr:col>1</xdr:col>
      <xdr:colOff>656689</xdr:colOff>
      <xdr:row>59</xdr:row>
      <xdr:rowOff>19050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2686050" y="13954125"/>
          <a:ext cx="389989" cy="485775"/>
        </a:xfrm>
        <a:prstGeom prst="rect">
          <a:avLst/>
        </a:prstGeom>
        <a:ln>
          <a:solidFill>
            <a:sysClr val="windowText" lastClr="000000"/>
          </a:solidFill>
        </a:ln>
      </xdr:spPr>
    </xdr:pic>
    <xdr:clientData/>
  </xdr:twoCellAnchor>
  <xdr:twoCellAnchor editAs="oneCell">
    <xdr:from>
      <xdr:col>2</xdr:col>
      <xdr:colOff>3409950</xdr:colOff>
      <xdr:row>57</xdr:row>
      <xdr:rowOff>167794</xdr:rowOff>
    </xdr:from>
    <xdr:to>
      <xdr:col>2</xdr:col>
      <xdr:colOff>7629525</xdr:colOff>
      <xdr:row>66</xdr:row>
      <xdr:rowOff>74781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6705600" y="14445769"/>
          <a:ext cx="4219575" cy="1707212"/>
        </a:xfrm>
        <a:prstGeom prst="rect">
          <a:avLst/>
        </a:prstGeom>
        <a:ln>
          <a:solidFill>
            <a:sysClr val="windowText" lastClr="000000"/>
          </a:solidFill>
        </a:ln>
      </xdr:spPr>
    </xdr:pic>
    <xdr:clientData/>
  </xdr:twoCellAnchor>
  <xdr:twoCellAnchor editAs="oneCell">
    <xdr:from>
      <xdr:col>2</xdr:col>
      <xdr:colOff>209550</xdr:colOff>
      <xdr:row>57</xdr:row>
      <xdr:rowOff>85726</xdr:rowOff>
    </xdr:from>
    <xdr:to>
      <xdr:col>2</xdr:col>
      <xdr:colOff>3202106</xdr:colOff>
      <xdr:row>66</xdr:row>
      <xdr:rowOff>190501</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3505200" y="14363701"/>
          <a:ext cx="2992556" cy="1905000"/>
        </a:xfrm>
        <a:prstGeom prst="rect">
          <a:avLst/>
        </a:prstGeom>
        <a:ln>
          <a:solidFill>
            <a:sysClr val="windowText" lastClr="000000"/>
          </a:solidFill>
        </a:ln>
      </xdr:spPr>
    </xdr:pic>
    <xdr:clientData/>
  </xdr:twoCellAnchor>
  <xdr:twoCellAnchor editAs="oneCell">
    <xdr:from>
      <xdr:col>2</xdr:col>
      <xdr:colOff>400050</xdr:colOff>
      <xdr:row>81</xdr:row>
      <xdr:rowOff>85725</xdr:rowOff>
    </xdr:from>
    <xdr:to>
      <xdr:col>2</xdr:col>
      <xdr:colOff>2752431</xdr:colOff>
      <xdr:row>85</xdr:row>
      <xdr:rowOff>180863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3743325" y="18116550"/>
          <a:ext cx="2352381" cy="895238"/>
        </a:xfrm>
        <a:prstGeom prst="rect">
          <a:avLst/>
        </a:prstGeom>
        <a:ln>
          <a:solidFill>
            <a:sysClr val="windowText" lastClr="000000"/>
          </a:solidFill>
        </a:ln>
      </xdr:spPr>
    </xdr:pic>
    <xdr:clientData/>
  </xdr:twoCellAnchor>
  <xdr:twoCellAnchor editAs="oneCell">
    <xdr:from>
      <xdr:col>2</xdr:col>
      <xdr:colOff>2933700</xdr:colOff>
      <xdr:row>81</xdr:row>
      <xdr:rowOff>85725</xdr:rowOff>
    </xdr:from>
    <xdr:to>
      <xdr:col>2</xdr:col>
      <xdr:colOff>5609890</xdr:colOff>
      <xdr:row>85</xdr:row>
      <xdr:rowOff>190387</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6276975" y="18116550"/>
          <a:ext cx="2676190" cy="904762"/>
        </a:xfrm>
        <a:prstGeom prst="rect">
          <a:avLst/>
        </a:prstGeom>
        <a:ln>
          <a:solidFill>
            <a:sysClr val="windowText" lastClr="000000"/>
          </a:solidFill>
        </a:ln>
      </xdr:spPr>
    </xdr:pic>
    <xdr:clientData/>
  </xdr:twoCellAnchor>
  <xdr:twoCellAnchor editAs="oneCell">
    <xdr:from>
      <xdr:col>2</xdr:col>
      <xdr:colOff>3038475</xdr:colOff>
      <xdr:row>87</xdr:row>
      <xdr:rowOff>238125</xdr:rowOff>
    </xdr:from>
    <xdr:to>
      <xdr:col>2</xdr:col>
      <xdr:colOff>5333713</xdr:colOff>
      <xdr:row>90</xdr:row>
      <xdr:rowOff>85644</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6381750" y="20869275"/>
          <a:ext cx="2295238" cy="647619"/>
        </a:xfrm>
        <a:prstGeom prst="rect">
          <a:avLst/>
        </a:prstGeom>
        <a:ln>
          <a:solidFill>
            <a:sysClr val="windowText" lastClr="000000"/>
          </a:solidFill>
        </a:ln>
      </xdr:spPr>
    </xdr:pic>
    <xdr:clientData/>
  </xdr:twoCellAnchor>
  <xdr:twoCellAnchor editAs="oneCell">
    <xdr:from>
      <xdr:col>2</xdr:col>
      <xdr:colOff>514350</xdr:colOff>
      <xdr:row>73</xdr:row>
      <xdr:rowOff>114300</xdr:rowOff>
    </xdr:from>
    <xdr:to>
      <xdr:col>2</xdr:col>
      <xdr:colOff>3524099</xdr:colOff>
      <xdr:row>78</xdr:row>
      <xdr:rowOff>133350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tretch>
          <a:fillRect/>
        </a:stretch>
      </xdr:blipFill>
      <xdr:spPr>
        <a:xfrm>
          <a:off x="3857625" y="17745075"/>
          <a:ext cx="3009749" cy="1019175"/>
        </a:xfrm>
        <a:prstGeom prst="rect">
          <a:avLst/>
        </a:prstGeom>
        <a:ln>
          <a:solidFill>
            <a:sysClr val="windowText" lastClr="000000"/>
          </a:solidFill>
        </a:ln>
      </xdr:spPr>
    </xdr:pic>
    <xdr:clientData/>
  </xdr:twoCellAnchor>
  <xdr:twoCellAnchor editAs="oneCell">
    <xdr:from>
      <xdr:col>2</xdr:col>
      <xdr:colOff>5543550</xdr:colOff>
      <xdr:row>87</xdr:row>
      <xdr:rowOff>381000</xdr:rowOff>
    </xdr:from>
    <xdr:to>
      <xdr:col>2</xdr:col>
      <xdr:colOff>6991169</xdr:colOff>
      <xdr:row>88</xdr:row>
      <xdr:rowOff>161902</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1"/>
        <a:stretch>
          <a:fillRect/>
        </a:stretch>
      </xdr:blipFill>
      <xdr:spPr>
        <a:xfrm>
          <a:off x="8886825" y="21012150"/>
          <a:ext cx="1447619" cy="180952"/>
        </a:xfrm>
        <a:prstGeom prst="rect">
          <a:avLst/>
        </a:prstGeom>
        <a:ln>
          <a:solidFill>
            <a:sysClr val="windowText" lastClr="000000"/>
          </a:solidFill>
        </a:ln>
      </xdr:spPr>
    </xdr:pic>
    <xdr:clientData/>
  </xdr:twoCellAnchor>
  <xdr:twoCellAnchor editAs="oneCell">
    <xdr:from>
      <xdr:col>2</xdr:col>
      <xdr:colOff>114300</xdr:colOff>
      <xdr:row>93</xdr:row>
      <xdr:rowOff>95250</xdr:rowOff>
    </xdr:from>
    <xdr:to>
      <xdr:col>2</xdr:col>
      <xdr:colOff>1238250</xdr:colOff>
      <xdr:row>100</xdr:row>
      <xdr:rowOff>65156</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2"/>
        <a:stretch>
          <a:fillRect/>
        </a:stretch>
      </xdr:blipFill>
      <xdr:spPr>
        <a:xfrm>
          <a:off x="3457575" y="22326600"/>
          <a:ext cx="1123950" cy="1376431"/>
        </a:xfrm>
        <a:prstGeom prst="rect">
          <a:avLst/>
        </a:prstGeom>
        <a:ln>
          <a:solidFill>
            <a:sysClr val="windowText" lastClr="000000"/>
          </a:solidFill>
        </a:ln>
      </xdr:spPr>
    </xdr:pic>
    <xdr:clientData/>
  </xdr:twoCellAnchor>
  <xdr:twoCellAnchor editAs="oneCell">
    <xdr:from>
      <xdr:col>2</xdr:col>
      <xdr:colOff>2095500</xdr:colOff>
      <xdr:row>92</xdr:row>
      <xdr:rowOff>257175</xdr:rowOff>
    </xdr:from>
    <xdr:to>
      <xdr:col>2</xdr:col>
      <xdr:colOff>3333595</xdr:colOff>
      <xdr:row>101</xdr:row>
      <xdr:rowOff>37877</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3"/>
        <a:stretch>
          <a:fillRect/>
        </a:stretch>
      </xdr:blipFill>
      <xdr:spPr>
        <a:xfrm>
          <a:off x="5438775" y="22088475"/>
          <a:ext cx="1238095" cy="1780952"/>
        </a:xfrm>
        <a:prstGeom prst="rect">
          <a:avLst/>
        </a:prstGeom>
        <a:ln>
          <a:solidFill>
            <a:sysClr val="windowText" lastClr="000000"/>
          </a:solidFill>
        </a:ln>
      </xdr:spPr>
    </xdr:pic>
    <xdr:clientData/>
  </xdr:twoCellAnchor>
  <xdr:twoCellAnchor editAs="oneCell">
    <xdr:from>
      <xdr:col>2</xdr:col>
      <xdr:colOff>3095625</xdr:colOff>
      <xdr:row>113</xdr:row>
      <xdr:rowOff>114300</xdr:rowOff>
    </xdr:from>
    <xdr:to>
      <xdr:col>2</xdr:col>
      <xdr:colOff>5524196</xdr:colOff>
      <xdr:row>116</xdr:row>
      <xdr:rowOff>142796</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4"/>
        <a:stretch>
          <a:fillRect/>
        </a:stretch>
      </xdr:blipFill>
      <xdr:spPr>
        <a:xfrm>
          <a:off x="6438900" y="27136725"/>
          <a:ext cx="2428571" cy="628571"/>
        </a:xfrm>
        <a:prstGeom prst="rect">
          <a:avLst/>
        </a:prstGeom>
        <a:ln>
          <a:solidFill>
            <a:sysClr val="windowText" lastClr="000000"/>
          </a:solidFill>
        </a:ln>
      </xdr:spPr>
    </xdr:pic>
    <xdr:clientData/>
  </xdr:twoCellAnchor>
  <xdr:twoCellAnchor editAs="oneCell">
    <xdr:from>
      <xdr:col>2</xdr:col>
      <xdr:colOff>5953125</xdr:colOff>
      <xdr:row>112</xdr:row>
      <xdr:rowOff>28575</xdr:rowOff>
    </xdr:from>
    <xdr:to>
      <xdr:col>2</xdr:col>
      <xdr:colOff>7924554</xdr:colOff>
      <xdr:row>117</xdr:row>
      <xdr:rowOff>3054</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5"/>
        <a:stretch>
          <a:fillRect/>
        </a:stretch>
      </xdr:blipFill>
      <xdr:spPr>
        <a:xfrm>
          <a:off x="9296400" y="26850975"/>
          <a:ext cx="1971429" cy="971429"/>
        </a:xfrm>
        <a:prstGeom prst="rect">
          <a:avLst/>
        </a:prstGeom>
        <a:ln>
          <a:solidFill>
            <a:sysClr val="windowText" lastClr="000000"/>
          </a:solidFill>
        </a:ln>
      </xdr:spPr>
    </xdr:pic>
    <xdr:clientData/>
  </xdr:twoCellAnchor>
  <xdr:twoCellAnchor>
    <xdr:from>
      <xdr:col>2</xdr:col>
      <xdr:colOff>9848849</xdr:colOff>
      <xdr:row>120</xdr:row>
      <xdr:rowOff>114301</xdr:rowOff>
    </xdr:from>
    <xdr:to>
      <xdr:col>2</xdr:col>
      <xdr:colOff>10125074</xdr:colOff>
      <xdr:row>122</xdr:row>
      <xdr:rowOff>19051</xdr:rowOff>
    </xdr:to>
    <xdr:sp macro="" textlink="">
      <xdr:nvSpPr>
        <xdr:cNvPr id="21" name="Oval 20">
          <a:extLst>
            <a:ext uri="{FF2B5EF4-FFF2-40B4-BE49-F238E27FC236}">
              <a16:creationId xmlns:a16="http://schemas.microsoft.com/office/drawing/2014/main" id="{00000000-0008-0000-0000-000015000000}"/>
            </a:ext>
          </a:extLst>
        </xdr:cNvPr>
        <xdr:cNvSpPr/>
      </xdr:nvSpPr>
      <xdr:spPr>
        <a:xfrm>
          <a:off x="13192124" y="28936951"/>
          <a:ext cx="276225" cy="3048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4057650</xdr:colOff>
      <xdr:row>123</xdr:row>
      <xdr:rowOff>85725</xdr:rowOff>
    </xdr:from>
    <xdr:to>
      <xdr:col>2</xdr:col>
      <xdr:colOff>5438619</xdr:colOff>
      <xdr:row>133</xdr:row>
      <xdr:rowOff>114046</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7562850" y="28921075"/>
          <a:ext cx="1380969" cy="1996821"/>
          <a:chOff x="7400925" y="29308425"/>
          <a:chExt cx="1380969" cy="2028571"/>
        </a:xfrm>
      </xdr:grpSpPr>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6"/>
          <a:stretch>
            <a:fillRect/>
          </a:stretch>
        </xdr:blipFill>
        <xdr:spPr>
          <a:xfrm>
            <a:off x="7534275" y="29308425"/>
            <a:ext cx="1247619" cy="2028571"/>
          </a:xfrm>
          <a:prstGeom prst="rect">
            <a:avLst/>
          </a:prstGeom>
          <a:ln>
            <a:solidFill>
              <a:sysClr val="windowText" lastClr="000000"/>
            </a:solidFill>
          </a:ln>
        </xdr:spPr>
      </xdr:pic>
      <xdr:sp macro="" textlink="">
        <xdr:nvSpPr>
          <xdr:cNvPr id="25" name="Oval 24">
            <a:extLst>
              <a:ext uri="{FF2B5EF4-FFF2-40B4-BE49-F238E27FC236}">
                <a16:creationId xmlns:a16="http://schemas.microsoft.com/office/drawing/2014/main" id="{00000000-0008-0000-0000-000019000000}"/>
              </a:ext>
            </a:extLst>
          </xdr:cNvPr>
          <xdr:cNvSpPr/>
        </xdr:nvSpPr>
        <xdr:spPr>
          <a:xfrm>
            <a:off x="7400925" y="30079951"/>
            <a:ext cx="1333500" cy="561974"/>
          </a:xfrm>
          <a:prstGeom prst="ellipse">
            <a:avLst/>
          </a:prstGeom>
          <a:no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6381749</xdr:colOff>
      <xdr:row>152</xdr:row>
      <xdr:rowOff>47625</xdr:rowOff>
    </xdr:from>
    <xdr:to>
      <xdr:col>2</xdr:col>
      <xdr:colOff>9020174</xdr:colOff>
      <xdr:row>161</xdr:row>
      <xdr:rowOff>104879</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7"/>
        <a:stretch>
          <a:fillRect/>
        </a:stretch>
      </xdr:blipFill>
      <xdr:spPr>
        <a:xfrm>
          <a:off x="9725024" y="36814125"/>
          <a:ext cx="2638425" cy="1946379"/>
        </a:xfrm>
        <a:prstGeom prst="rect">
          <a:avLst/>
        </a:prstGeom>
        <a:ln>
          <a:solidFill>
            <a:sysClr val="windowText" lastClr="000000"/>
          </a:solidFill>
        </a:ln>
      </xdr:spPr>
    </xdr:pic>
    <xdr:clientData/>
  </xdr:twoCellAnchor>
  <xdr:twoCellAnchor editAs="oneCell">
    <xdr:from>
      <xdr:col>2</xdr:col>
      <xdr:colOff>76200</xdr:colOff>
      <xdr:row>155</xdr:row>
      <xdr:rowOff>114300</xdr:rowOff>
    </xdr:from>
    <xdr:to>
      <xdr:col>2</xdr:col>
      <xdr:colOff>3628581</xdr:colOff>
      <xdr:row>158</xdr:row>
      <xdr:rowOff>161844</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8"/>
        <a:stretch>
          <a:fillRect/>
        </a:stretch>
      </xdr:blipFill>
      <xdr:spPr>
        <a:xfrm>
          <a:off x="3419475" y="37576125"/>
          <a:ext cx="3552381" cy="647619"/>
        </a:xfrm>
        <a:prstGeom prst="rect">
          <a:avLst/>
        </a:prstGeom>
        <a:ln>
          <a:solidFill>
            <a:sysClr val="windowText" lastClr="000000"/>
          </a:solidFill>
        </a:ln>
      </xdr:spPr>
    </xdr:pic>
    <xdr:clientData/>
  </xdr:twoCellAnchor>
  <xdr:twoCellAnchor editAs="oneCell">
    <xdr:from>
      <xdr:col>2</xdr:col>
      <xdr:colOff>3914775</xdr:colOff>
      <xdr:row>155</xdr:row>
      <xdr:rowOff>76200</xdr:rowOff>
    </xdr:from>
    <xdr:to>
      <xdr:col>2</xdr:col>
      <xdr:colOff>5848108</xdr:colOff>
      <xdr:row>159</xdr:row>
      <xdr:rowOff>123719</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9"/>
        <a:stretch>
          <a:fillRect/>
        </a:stretch>
      </xdr:blipFill>
      <xdr:spPr>
        <a:xfrm>
          <a:off x="7258050" y="37538025"/>
          <a:ext cx="1933333" cy="847619"/>
        </a:xfrm>
        <a:prstGeom prst="rect">
          <a:avLst/>
        </a:prstGeom>
        <a:ln>
          <a:solidFill>
            <a:sysClr val="windowText" lastClr="000000"/>
          </a:solidFill>
        </a:ln>
      </xdr:spPr>
    </xdr:pic>
    <xdr:clientData/>
  </xdr:twoCellAnchor>
  <xdr:twoCellAnchor editAs="oneCell">
    <xdr:from>
      <xdr:col>2</xdr:col>
      <xdr:colOff>5562600</xdr:colOff>
      <xdr:row>162</xdr:row>
      <xdr:rowOff>31750</xdr:rowOff>
    </xdr:from>
    <xdr:to>
      <xdr:col>2</xdr:col>
      <xdr:colOff>9734764</xdr:colOff>
      <xdr:row>167</xdr:row>
      <xdr:rowOff>25450</xdr:rowOff>
    </xdr:to>
    <xdr:pic>
      <xdr:nvPicPr>
        <xdr:cNvPr id="18" name="Picture 17">
          <a:extLst>
            <a:ext uri="{FF2B5EF4-FFF2-40B4-BE49-F238E27FC236}">
              <a16:creationId xmlns:a16="http://schemas.microsoft.com/office/drawing/2014/main" id="{157C6BCE-0E21-21C2-50D8-1A1691D683B3}"/>
            </a:ext>
          </a:extLst>
        </xdr:cNvPr>
        <xdr:cNvPicPr>
          <a:picLocks noChangeAspect="1"/>
        </xdr:cNvPicPr>
      </xdr:nvPicPr>
      <xdr:blipFill>
        <a:blip xmlns:r="http://schemas.openxmlformats.org/officeDocument/2006/relationships" r:embed="rId20"/>
        <a:stretch>
          <a:fillRect/>
        </a:stretch>
      </xdr:blipFill>
      <xdr:spPr>
        <a:xfrm>
          <a:off x="9067800" y="38188900"/>
          <a:ext cx="4172164" cy="977950"/>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7610475</xdr:colOff>
      <xdr:row>10</xdr:row>
      <xdr:rowOff>104775</xdr:rowOff>
    </xdr:from>
    <xdr:to>
      <xdr:col>2</xdr:col>
      <xdr:colOff>9181904</xdr:colOff>
      <xdr:row>11</xdr:row>
      <xdr:rowOff>76179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0953750" y="4400550"/>
          <a:ext cx="1571429" cy="171429"/>
        </a:xfrm>
        <a:prstGeom prst="rect">
          <a:avLst/>
        </a:prstGeom>
        <a:ln>
          <a:solidFill>
            <a:sysClr val="windowText" lastClr="000000"/>
          </a:solidFill>
        </a:ln>
      </xdr:spPr>
    </xdr:pic>
    <xdr:clientData/>
  </xdr:twoCellAnchor>
  <xdr:twoCellAnchor editAs="oneCell">
    <xdr:from>
      <xdr:col>2</xdr:col>
      <xdr:colOff>8010525</xdr:colOff>
      <xdr:row>27</xdr:row>
      <xdr:rowOff>438150</xdr:rowOff>
    </xdr:from>
    <xdr:to>
      <xdr:col>2</xdr:col>
      <xdr:colOff>9286715</xdr:colOff>
      <xdr:row>27</xdr:row>
      <xdr:rowOff>571483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1353800" y="9029700"/>
          <a:ext cx="1276190" cy="133333"/>
        </a:xfrm>
        <a:prstGeom prst="rect">
          <a:avLst/>
        </a:prstGeom>
        <a:ln>
          <a:solidFill>
            <a:sysClr val="windowText" lastClr="000000"/>
          </a:solidFill>
        </a:ln>
      </xdr:spPr>
    </xdr:pic>
    <xdr:clientData/>
  </xdr:twoCellAnchor>
  <xdr:twoCellAnchor editAs="oneCell">
    <xdr:from>
      <xdr:col>2</xdr:col>
      <xdr:colOff>2981325</xdr:colOff>
      <xdr:row>36</xdr:row>
      <xdr:rowOff>438150</xdr:rowOff>
    </xdr:from>
    <xdr:to>
      <xdr:col>2</xdr:col>
      <xdr:colOff>4257515</xdr:colOff>
      <xdr:row>36</xdr:row>
      <xdr:rowOff>571483</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6324600" y="12420600"/>
          <a:ext cx="1276190" cy="133333"/>
        </a:xfrm>
        <a:prstGeom prst="rect">
          <a:avLst/>
        </a:prstGeom>
        <a:ln>
          <a:solidFill>
            <a:sysClr val="windowText" lastClr="000000"/>
          </a:solidFill>
        </a:ln>
      </xdr:spPr>
    </xdr:pic>
    <xdr:clientData/>
  </xdr:twoCellAnchor>
  <xdr:twoCellAnchor editAs="oneCell">
    <xdr:from>
      <xdr:col>2</xdr:col>
      <xdr:colOff>2190007</xdr:colOff>
      <xdr:row>40</xdr:row>
      <xdr:rowOff>43794</xdr:rowOff>
    </xdr:from>
    <xdr:to>
      <xdr:col>2</xdr:col>
      <xdr:colOff>5267325</xdr:colOff>
      <xdr:row>45</xdr:row>
      <xdr:rowOff>85725</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5533282" y="11083269"/>
          <a:ext cx="3077318" cy="1042056"/>
        </a:xfrm>
        <a:prstGeom prst="rect">
          <a:avLst/>
        </a:prstGeom>
        <a:ln>
          <a:solidFill>
            <a:sysClr val="windowText" lastClr="000000"/>
          </a:solidFill>
        </a:ln>
      </xdr:spPr>
    </xdr:pic>
    <xdr:clientData/>
  </xdr:twoCellAnchor>
  <xdr:twoCellAnchor editAs="oneCell">
    <xdr:from>
      <xdr:col>1</xdr:col>
      <xdr:colOff>266700</xdr:colOff>
      <xdr:row>47</xdr:row>
      <xdr:rowOff>333375</xdr:rowOff>
    </xdr:from>
    <xdr:to>
      <xdr:col>1</xdr:col>
      <xdr:colOff>656689</xdr:colOff>
      <xdr:row>50</xdr:row>
      <xdr:rowOff>19050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2733675" y="14773275"/>
          <a:ext cx="389989" cy="485775"/>
        </a:xfrm>
        <a:prstGeom prst="rect">
          <a:avLst/>
        </a:prstGeom>
        <a:ln>
          <a:solidFill>
            <a:sysClr val="windowText" lastClr="000000"/>
          </a:solidFill>
        </a:ln>
      </xdr:spPr>
    </xdr:pic>
    <xdr:clientData/>
  </xdr:twoCellAnchor>
  <xdr:twoCellAnchor editAs="oneCell">
    <xdr:from>
      <xdr:col>2</xdr:col>
      <xdr:colOff>3409950</xdr:colOff>
      <xdr:row>48</xdr:row>
      <xdr:rowOff>167794</xdr:rowOff>
    </xdr:from>
    <xdr:to>
      <xdr:col>2</xdr:col>
      <xdr:colOff>7629525</xdr:colOff>
      <xdr:row>57</xdr:row>
      <xdr:rowOff>74781</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6753225" y="15007744"/>
          <a:ext cx="4219575" cy="1707212"/>
        </a:xfrm>
        <a:prstGeom prst="rect">
          <a:avLst/>
        </a:prstGeom>
        <a:ln>
          <a:solidFill>
            <a:sysClr val="windowText" lastClr="000000"/>
          </a:solidFill>
        </a:ln>
      </xdr:spPr>
    </xdr:pic>
    <xdr:clientData/>
  </xdr:twoCellAnchor>
  <xdr:twoCellAnchor editAs="oneCell">
    <xdr:from>
      <xdr:col>2</xdr:col>
      <xdr:colOff>209550</xdr:colOff>
      <xdr:row>48</xdr:row>
      <xdr:rowOff>85726</xdr:rowOff>
    </xdr:from>
    <xdr:to>
      <xdr:col>2</xdr:col>
      <xdr:colOff>3202106</xdr:colOff>
      <xdr:row>57</xdr:row>
      <xdr:rowOff>190501</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3552825" y="14925676"/>
          <a:ext cx="2992556" cy="1905000"/>
        </a:xfrm>
        <a:prstGeom prst="rect">
          <a:avLst/>
        </a:prstGeom>
        <a:ln>
          <a:solidFill>
            <a:sysClr val="windowText" lastClr="000000"/>
          </a:solidFill>
        </a:ln>
      </xdr:spPr>
    </xdr:pic>
    <xdr:clientData/>
  </xdr:twoCellAnchor>
  <xdr:twoCellAnchor editAs="oneCell">
    <xdr:from>
      <xdr:col>2</xdr:col>
      <xdr:colOff>400050</xdr:colOff>
      <xdr:row>71</xdr:row>
      <xdr:rowOff>85725</xdr:rowOff>
    </xdr:from>
    <xdr:to>
      <xdr:col>2</xdr:col>
      <xdr:colOff>2752431</xdr:colOff>
      <xdr:row>75</xdr:row>
      <xdr:rowOff>180863</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a:stretch>
          <a:fillRect/>
        </a:stretch>
      </xdr:blipFill>
      <xdr:spPr>
        <a:xfrm>
          <a:off x="3743325" y="20116800"/>
          <a:ext cx="2352381" cy="895238"/>
        </a:xfrm>
        <a:prstGeom prst="rect">
          <a:avLst/>
        </a:prstGeom>
        <a:ln>
          <a:solidFill>
            <a:sysClr val="windowText" lastClr="000000"/>
          </a:solidFill>
        </a:ln>
      </xdr:spPr>
    </xdr:pic>
    <xdr:clientData/>
  </xdr:twoCellAnchor>
  <xdr:twoCellAnchor editAs="oneCell">
    <xdr:from>
      <xdr:col>2</xdr:col>
      <xdr:colOff>2933700</xdr:colOff>
      <xdr:row>71</xdr:row>
      <xdr:rowOff>85725</xdr:rowOff>
    </xdr:from>
    <xdr:to>
      <xdr:col>2</xdr:col>
      <xdr:colOff>5609890</xdr:colOff>
      <xdr:row>75</xdr:row>
      <xdr:rowOff>190387</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a:stretch>
          <a:fillRect/>
        </a:stretch>
      </xdr:blipFill>
      <xdr:spPr>
        <a:xfrm>
          <a:off x="6276975" y="20116800"/>
          <a:ext cx="2676190" cy="904762"/>
        </a:xfrm>
        <a:prstGeom prst="rect">
          <a:avLst/>
        </a:prstGeom>
        <a:ln>
          <a:solidFill>
            <a:sysClr val="windowText" lastClr="000000"/>
          </a:solidFill>
        </a:ln>
      </xdr:spPr>
    </xdr:pic>
    <xdr:clientData/>
  </xdr:twoCellAnchor>
  <xdr:twoCellAnchor editAs="oneCell">
    <xdr:from>
      <xdr:col>2</xdr:col>
      <xdr:colOff>3038475</xdr:colOff>
      <xdr:row>77</xdr:row>
      <xdr:rowOff>238125</xdr:rowOff>
    </xdr:from>
    <xdr:to>
      <xdr:col>2</xdr:col>
      <xdr:colOff>5333713</xdr:colOff>
      <xdr:row>80</xdr:row>
      <xdr:rowOff>85644</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a:stretch>
          <a:fillRect/>
        </a:stretch>
      </xdr:blipFill>
      <xdr:spPr>
        <a:xfrm>
          <a:off x="6381750" y="21469350"/>
          <a:ext cx="2295238" cy="647619"/>
        </a:xfrm>
        <a:prstGeom prst="rect">
          <a:avLst/>
        </a:prstGeom>
        <a:ln>
          <a:solidFill>
            <a:sysClr val="windowText" lastClr="000000"/>
          </a:solidFill>
        </a:ln>
      </xdr:spPr>
    </xdr:pic>
    <xdr:clientData/>
  </xdr:twoCellAnchor>
  <xdr:twoCellAnchor editAs="oneCell">
    <xdr:from>
      <xdr:col>2</xdr:col>
      <xdr:colOff>514350</xdr:colOff>
      <xdr:row>63</xdr:row>
      <xdr:rowOff>114300</xdr:rowOff>
    </xdr:from>
    <xdr:to>
      <xdr:col>2</xdr:col>
      <xdr:colOff>3524099</xdr:colOff>
      <xdr:row>68</xdr:row>
      <xdr:rowOff>133350</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3"/>
        <a:stretch>
          <a:fillRect/>
        </a:stretch>
      </xdr:blipFill>
      <xdr:spPr>
        <a:xfrm>
          <a:off x="3857625" y="18345150"/>
          <a:ext cx="3009749" cy="1019175"/>
        </a:xfrm>
        <a:prstGeom prst="rect">
          <a:avLst/>
        </a:prstGeom>
        <a:ln>
          <a:solidFill>
            <a:sysClr val="windowText" lastClr="000000"/>
          </a:solidFill>
        </a:ln>
      </xdr:spPr>
    </xdr:pic>
    <xdr:clientData/>
  </xdr:twoCellAnchor>
  <xdr:twoCellAnchor editAs="oneCell">
    <xdr:from>
      <xdr:col>2</xdr:col>
      <xdr:colOff>5543550</xdr:colOff>
      <xdr:row>77</xdr:row>
      <xdr:rowOff>381000</xdr:rowOff>
    </xdr:from>
    <xdr:to>
      <xdr:col>2</xdr:col>
      <xdr:colOff>6991169</xdr:colOff>
      <xdr:row>78</xdr:row>
      <xdr:rowOff>161902</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0"/>
        <a:stretch>
          <a:fillRect/>
        </a:stretch>
      </xdr:blipFill>
      <xdr:spPr>
        <a:xfrm>
          <a:off x="8886825" y="21612225"/>
          <a:ext cx="1447619" cy="180952"/>
        </a:xfrm>
        <a:prstGeom prst="rect">
          <a:avLst/>
        </a:prstGeom>
        <a:ln>
          <a:solidFill>
            <a:sysClr val="windowText" lastClr="000000"/>
          </a:solidFill>
        </a:ln>
      </xdr:spPr>
    </xdr:pic>
    <xdr:clientData/>
  </xdr:twoCellAnchor>
  <xdr:twoCellAnchor editAs="oneCell">
    <xdr:from>
      <xdr:col>2</xdr:col>
      <xdr:colOff>2114550</xdr:colOff>
      <xdr:row>82</xdr:row>
      <xdr:rowOff>276225</xdr:rowOff>
    </xdr:from>
    <xdr:to>
      <xdr:col>2</xdr:col>
      <xdr:colOff>3148999</xdr:colOff>
      <xdr:row>88</xdr:row>
      <xdr:rowOff>142875</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1"/>
        <a:stretch>
          <a:fillRect/>
        </a:stretch>
      </xdr:blipFill>
      <xdr:spPr>
        <a:xfrm>
          <a:off x="5457825" y="20707350"/>
          <a:ext cx="1034449" cy="1266825"/>
        </a:xfrm>
        <a:prstGeom prst="rect">
          <a:avLst/>
        </a:prstGeom>
        <a:ln>
          <a:solidFill>
            <a:sysClr val="windowText" lastClr="000000"/>
          </a:solidFill>
        </a:ln>
      </xdr:spPr>
    </xdr:pic>
    <xdr:clientData/>
  </xdr:twoCellAnchor>
  <xdr:twoCellAnchor editAs="oneCell">
    <xdr:from>
      <xdr:col>2</xdr:col>
      <xdr:colOff>3505201</xdr:colOff>
      <xdr:row>82</xdr:row>
      <xdr:rowOff>304801</xdr:rowOff>
    </xdr:from>
    <xdr:to>
      <xdr:col>2</xdr:col>
      <xdr:colOff>4381500</xdr:colOff>
      <xdr:row>88</xdr:row>
      <xdr:rowOff>165148</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2"/>
        <a:stretch>
          <a:fillRect/>
        </a:stretch>
      </xdr:blipFill>
      <xdr:spPr>
        <a:xfrm>
          <a:off x="6848476" y="20735926"/>
          <a:ext cx="876299" cy="1260522"/>
        </a:xfrm>
        <a:prstGeom prst="rect">
          <a:avLst/>
        </a:prstGeom>
        <a:ln>
          <a:solidFill>
            <a:sysClr val="windowText" lastClr="000000"/>
          </a:solidFill>
        </a:ln>
      </xdr:spPr>
    </xdr:pic>
    <xdr:clientData/>
  </xdr:twoCellAnchor>
  <xdr:twoCellAnchor editAs="oneCell">
    <xdr:from>
      <xdr:col>2</xdr:col>
      <xdr:colOff>3095625</xdr:colOff>
      <xdr:row>99</xdr:row>
      <xdr:rowOff>114300</xdr:rowOff>
    </xdr:from>
    <xdr:to>
      <xdr:col>2</xdr:col>
      <xdr:colOff>5524196</xdr:colOff>
      <xdr:row>102</xdr:row>
      <xdr:rowOff>142796</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3"/>
        <a:stretch>
          <a:fillRect/>
        </a:stretch>
      </xdr:blipFill>
      <xdr:spPr>
        <a:xfrm>
          <a:off x="6438900" y="27536775"/>
          <a:ext cx="2428571" cy="628571"/>
        </a:xfrm>
        <a:prstGeom prst="rect">
          <a:avLst/>
        </a:prstGeom>
        <a:ln>
          <a:solidFill>
            <a:sysClr val="windowText" lastClr="000000"/>
          </a:solidFill>
        </a:ln>
      </xdr:spPr>
    </xdr:pic>
    <xdr:clientData/>
  </xdr:twoCellAnchor>
  <xdr:twoCellAnchor editAs="oneCell">
    <xdr:from>
      <xdr:col>2</xdr:col>
      <xdr:colOff>5953125</xdr:colOff>
      <xdr:row>98</xdr:row>
      <xdr:rowOff>28575</xdr:rowOff>
    </xdr:from>
    <xdr:to>
      <xdr:col>2</xdr:col>
      <xdr:colOff>7924554</xdr:colOff>
      <xdr:row>102</xdr:row>
      <xdr:rowOff>199904</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4"/>
        <a:stretch>
          <a:fillRect/>
        </a:stretch>
      </xdr:blipFill>
      <xdr:spPr>
        <a:xfrm>
          <a:off x="9296400" y="27251025"/>
          <a:ext cx="1971429" cy="971429"/>
        </a:xfrm>
        <a:prstGeom prst="rect">
          <a:avLst/>
        </a:prstGeom>
        <a:ln>
          <a:solidFill>
            <a:sysClr val="windowText" lastClr="000000"/>
          </a:solidFill>
        </a:ln>
      </xdr:spPr>
    </xdr:pic>
    <xdr:clientData/>
  </xdr:twoCellAnchor>
  <xdr:twoCellAnchor>
    <xdr:from>
      <xdr:col>2</xdr:col>
      <xdr:colOff>9077325</xdr:colOff>
      <xdr:row>102</xdr:row>
      <xdr:rowOff>190500</xdr:rowOff>
    </xdr:from>
    <xdr:to>
      <xdr:col>2</xdr:col>
      <xdr:colOff>10125074</xdr:colOff>
      <xdr:row>108</xdr:row>
      <xdr:rowOff>19051</xdr:rowOff>
    </xdr:to>
    <xdr:grpSp>
      <xdr:nvGrpSpPr>
        <xdr:cNvPr id="18" name="Group 17">
          <a:extLst>
            <a:ext uri="{FF2B5EF4-FFF2-40B4-BE49-F238E27FC236}">
              <a16:creationId xmlns:a16="http://schemas.microsoft.com/office/drawing/2014/main" id="{00000000-0008-0000-0400-000012000000}"/>
            </a:ext>
          </a:extLst>
        </xdr:cNvPr>
        <xdr:cNvGrpSpPr/>
      </xdr:nvGrpSpPr>
      <xdr:grpSpPr>
        <a:xfrm>
          <a:off x="12582525" y="24517350"/>
          <a:ext cx="1047749" cy="1009651"/>
          <a:chOff x="12420600" y="27813000"/>
          <a:chExt cx="1047749" cy="1028701"/>
        </a:xfrm>
      </xdr:grpSpPr>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5"/>
          <a:stretch>
            <a:fillRect/>
          </a:stretch>
        </xdr:blipFill>
        <xdr:spPr>
          <a:xfrm>
            <a:off x="12420600" y="27813000"/>
            <a:ext cx="961905" cy="952381"/>
          </a:xfrm>
          <a:prstGeom prst="rect">
            <a:avLst/>
          </a:prstGeom>
        </xdr:spPr>
      </xdr:pic>
      <xdr:sp macro="" textlink="">
        <xdr:nvSpPr>
          <xdr:cNvPr id="20" name="Oval 19">
            <a:extLst>
              <a:ext uri="{FF2B5EF4-FFF2-40B4-BE49-F238E27FC236}">
                <a16:creationId xmlns:a16="http://schemas.microsoft.com/office/drawing/2014/main" id="{00000000-0008-0000-0400-000014000000}"/>
              </a:ext>
            </a:extLst>
          </xdr:cNvPr>
          <xdr:cNvSpPr/>
        </xdr:nvSpPr>
        <xdr:spPr>
          <a:xfrm>
            <a:off x="13192124" y="28536901"/>
            <a:ext cx="276225" cy="3048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4057650</xdr:colOff>
      <xdr:row>109</xdr:row>
      <xdr:rowOff>85725</xdr:rowOff>
    </xdr:from>
    <xdr:to>
      <xdr:col>2</xdr:col>
      <xdr:colOff>5438619</xdr:colOff>
      <xdr:row>119</xdr:row>
      <xdr:rowOff>114046</xdr:rowOff>
    </xdr:to>
    <xdr:grpSp>
      <xdr:nvGrpSpPr>
        <xdr:cNvPr id="21" name="Group 20">
          <a:extLst>
            <a:ext uri="{FF2B5EF4-FFF2-40B4-BE49-F238E27FC236}">
              <a16:creationId xmlns:a16="http://schemas.microsoft.com/office/drawing/2014/main" id="{00000000-0008-0000-0400-000015000000}"/>
            </a:ext>
          </a:extLst>
        </xdr:cNvPr>
        <xdr:cNvGrpSpPr/>
      </xdr:nvGrpSpPr>
      <xdr:grpSpPr>
        <a:xfrm>
          <a:off x="7562850" y="25987375"/>
          <a:ext cx="1380969" cy="1996821"/>
          <a:chOff x="7400925" y="29308425"/>
          <a:chExt cx="1380969" cy="2028571"/>
        </a:xfrm>
      </xdr:grpSpPr>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6"/>
          <a:stretch>
            <a:fillRect/>
          </a:stretch>
        </xdr:blipFill>
        <xdr:spPr>
          <a:xfrm>
            <a:off x="7534275" y="29308425"/>
            <a:ext cx="1247619" cy="2028571"/>
          </a:xfrm>
          <a:prstGeom prst="rect">
            <a:avLst/>
          </a:prstGeom>
          <a:ln>
            <a:solidFill>
              <a:sysClr val="windowText" lastClr="000000"/>
            </a:solidFill>
          </a:ln>
        </xdr:spPr>
      </xdr:pic>
      <xdr:sp macro="" textlink="">
        <xdr:nvSpPr>
          <xdr:cNvPr id="23" name="Oval 22">
            <a:extLst>
              <a:ext uri="{FF2B5EF4-FFF2-40B4-BE49-F238E27FC236}">
                <a16:creationId xmlns:a16="http://schemas.microsoft.com/office/drawing/2014/main" id="{00000000-0008-0000-0400-000017000000}"/>
              </a:ext>
            </a:extLst>
          </xdr:cNvPr>
          <xdr:cNvSpPr/>
        </xdr:nvSpPr>
        <xdr:spPr>
          <a:xfrm>
            <a:off x="7400925" y="30079951"/>
            <a:ext cx="1333500" cy="561974"/>
          </a:xfrm>
          <a:prstGeom prst="ellipse">
            <a:avLst/>
          </a:prstGeom>
          <a:no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6381749</xdr:colOff>
      <xdr:row>136</xdr:row>
      <xdr:rowOff>47625</xdr:rowOff>
    </xdr:from>
    <xdr:to>
      <xdr:col>2</xdr:col>
      <xdr:colOff>9020174</xdr:colOff>
      <xdr:row>145</xdr:row>
      <xdr:rowOff>98529</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17"/>
        <a:stretch>
          <a:fillRect/>
        </a:stretch>
      </xdr:blipFill>
      <xdr:spPr>
        <a:xfrm>
          <a:off x="9725024" y="36814125"/>
          <a:ext cx="2638425" cy="1946379"/>
        </a:xfrm>
        <a:prstGeom prst="rect">
          <a:avLst/>
        </a:prstGeom>
        <a:ln>
          <a:solidFill>
            <a:sysClr val="windowText" lastClr="000000"/>
          </a:solidFill>
        </a:ln>
      </xdr:spPr>
    </xdr:pic>
    <xdr:clientData/>
  </xdr:twoCellAnchor>
  <xdr:twoCellAnchor editAs="oneCell">
    <xdr:from>
      <xdr:col>2</xdr:col>
      <xdr:colOff>76200</xdr:colOff>
      <xdr:row>139</xdr:row>
      <xdr:rowOff>114300</xdr:rowOff>
    </xdr:from>
    <xdr:to>
      <xdr:col>2</xdr:col>
      <xdr:colOff>3628581</xdr:colOff>
      <xdr:row>142</xdr:row>
      <xdr:rowOff>161844</xdr:rowOff>
    </xdr:to>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8"/>
        <a:stretch>
          <a:fillRect/>
        </a:stretch>
      </xdr:blipFill>
      <xdr:spPr>
        <a:xfrm>
          <a:off x="3419475" y="37576125"/>
          <a:ext cx="3552381" cy="647619"/>
        </a:xfrm>
        <a:prstGeom prst="rect">
          <a:avLst/>
        </a:prstGeom>
        <a:ln>
          <a:solidFill>
            <a:sysClr val="windowText" lastClr="000000"/>
          </a:solidFill>
        </a:ln>
      </xdr:spPr>
    </xdr:pic>
    <xdr:clientData/>
  </xdr:twoCellAnchor>
  <xdr:twoCellAnchor editAs="oneCell">
    <xdr:from>
      <xdr:col>2</xdr:col>
      <xdr:colOff>3914775</xdr:colOff>
      <xdr:row>139</xdr:row>
      <xdr:rowOff>76200</xdr:rowOff>
    </xdr:from>
    <xdr:to>
      <xdr:col>2</xdr:col>
      <xdr:colOff>5848108</xdr:colOff>
      <xdr:row>143</xdr:row>
      <xdr:rowOff>123719</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19"/>
        <a:stretch>
          <a:fillRect/>
        </a:stretch>
      </xdr:blipFill>
      <xdr:spPr>
        <a:xfrm>
          <a:off x="7258050" y="37538025"/>
          <a:ext cx="1933333" cy="847619"/>
        </a:xfrm>
        <a:prstGeom prst="rect">
          <a:avLst/>
        </a:prstGeom>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alu-my.sharepoint.com/personal/jl540955_dal_ca/Documents/Temp%20Pres/2026-2027%20Research%20Camp/Excel%201%20-%20Easy%20Excel/Easy%20Excel%20-%20Workshop%20File.xlsx" TargetMode="External"/><Relationship Id="rId1" Type="http://schemas.openxmlformats.org/officeDocument/2006/relationships/externalLinkPath" Target="https://dalu-my.sharepoint.com/personal/jl540955_dal_ca/Documents/Temp%20Pres/2026-2027%20Research%20Camp/Excel%201%20-%20Easy%20Excel/Easy%20Excel%20-%20Workshop%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Useful Features"/>
      <sheetName val="Bonus Formulas"/>
      <sheetName val="Instructions"/>
      <sheetName val="Exercise"/>
      <sheetName val="Example Result"/>
    </sheetNames>
    <sheetDataSet>
      <sheetData sheetId="0" refreshError="1"/>
      <sheetData sheetId="1"/>
      <sheetData sheetId="2">
        <row r="165">
          <cell r="A165" t="str">
            <v>My name is Miow</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l.ca.libguides.com/prf.php?account_id=53640" TargetMode="External"/><Relationship Id="rId2" Type="http://schemas.openxmlformats.org/officeDocument/2006/relationships/hyperlink" Target="mailto:julie.marcoux@dal.ca" TargetMode="External"/><Relationship Id="rId1" Type="http://schemas.openxmlformats.org/officeDocument/2006/relationships/hyperlink" Target="https://creativecommons.org/licenses/by-nc/4.0/"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3B42-18D7-4B77-9895-418AB1B5CFBD}">
  <sheetPr>
    <tabColor rgb="FF503353"/>
  </sheetPr>
  <dimension ref="A1:C19"/>
  <sheetViews>
    <sheetView workbookViewId="0">
      <selection activeCell="B1" sqref="B1"/>
    </sheetView>
  </sheetViews>
  <sheetFormatPr defaultRowHeight="14.5" x14ac:dyDescent="0.35"/>
  <cols>
    <col min="1" max="1" width="53.1796875" customWidth="1"/>
    <col min="2" max="2" width="76.453125" customWidth="1"/>
    <col min="3" max="3" width="33.1796875" customWidth="1"/>
  </cols>
  <sheetData>
    <row r="1" spans="1:3" ht="23.5" x14ac:dyDescent="0.55000000000000004">
      <c r="A1" s="92" t="s">
        <v>237</v>
      </c>
    </row>
    <row r="2" spans="1:3" x14ac:dyDescent="0.35">
      <c r="A2" s="7"/>
    </row>
    <row r="3" spans="1:3" ht="20" thickBot="1" x14ac:dyDescent="0.5">
      <c r="A3" s="81" t="s">
        <v>212</v>
      </c>
      <c r="B3" s="93" t="s">
        <v>213</v>
      </c>
    </row>
    <row r="4" spans="1:3" ht="44" thickTop="1" x14ac:dyDescent="0.35">
      <c r="A4" s="94" t="s">
        <v>227</v>
      </c>
      <c r="B4" s="9" t="s">
        <v>234</v>
      </c>
    </row>
    <row r="5" spans="1:3" ht="29" x14ac:dyDescent="0.35">
      <c r="A5" s="94" t="s">
        <v>228</v>
      </c>
      <c r="B5" s="9" t="s">
        <v>231</v>
      </c>
    </row>
    <row r="6" spans="1:3" ht="29" x14ac:dyDescent="0.35">
      <c r="A6" s="94" t="s">
        <v>0</v>
      </c>
      <c r="B6" s="9" t="s">
        <v>232</v>
      </c>
    </row>
    <row r="7" spans="1:3" ht="29" x14ac:dyDescent="0.35">
      <c r="A7" s="94" t="s">
        <v>214</v>
      </c>
      <c r="B7" s="9" t="s">
        <v>233</v>
      </c>
    </row>
    <row r="8" spans="1:3" ht="29" x14ac:dyDescent="0.35">
      <c r="A8" s="94" t="s">
        <v>229</v>
      </c>
      <c r="B8" s="9" t="s">
        <v>236</v>
      </c>
    </row>
    <row r="9" spans="1:3" x14ac:dyDescent="0.35">
      <c r="A9" s="94" t="s">
        <v>230</v>
      </c>
      <c r="B9" s="9" t="s">
        <v>235</v>
      </c>
    </row>
    <row r="10" spans="1:3" x14ac:dyDescent="0.35">
      <c r="A10" s="94"/>
      <c r="B10" s="9"/>
    </row>
    <row r="11" spans="1:3" ht="20" thickBot="1" x14ac:dyDescent="0.5">
      <c r="A11" s="81" t="s">
        <v>215</v>
      </c>
      <c r="B11" s="93"/>
      <c r="C11" s="81"/>
    </row>
    <row r="12" spans="1:3" ht="29.5" thickTop="1" x14ac:dyDescent="0.35">
      <c r="A12" t="s">
        <v>216</v>
      </c>
      <c r="B12" s="95" t="s">
        <v>217</v>
      </c>
      <c r="C12" s="9" t="s">
        <v>218</v>
      </c>
    </row>
    <row r="13" spans="1:3" ht="58" x14ac:dyDescent="0.35">
      <c r="A13" s="9" t="s">
        <v>219</v>
      </c>
      <c r="B13" s="95" t="s">
        <v>220</v>
      </c>
    </row>
    <row r="15" spans="1:3" ht="20" thickBot="1" x14ac:dyDescent="0.5">
      <c r="A15" s="81" t="s">
        <v>221</v>
      </c>
      <c r="B15" s="93"/>
      <c r="C15" s="81"/>
    </row>
    <row r="16" spans="1:3" ht="29.5" thickTop="1" x14ac:dyDescent="0.35">
      <c r="A16" s="9" t="s">
        <v>222</v>
      </c>
      <c r="B16" s="95" t="s">
        <v>223</v>
      </c>
      <c r="C16" s="9" t="s">
        <v>224</v>
      </c>
    </row>
    <row r="18" spans="1:3" ht="20" thickBot="1" x14ac:dyDescent="0.5">
      <c r="A18" s="81" t="s">
        <v>225</v>
      </c>
      <c r="B18" s="81"/>
      <c r="C18" s="81"/>
    </row>
    <row r="19" spans="1:3" ht="15" thickTop="1" x14ac:dyDescent="0.35">
      <c r="A19" s="96" t="s">
        <v>226</v>
      </c>
    </row>
  </sheetData>
  <hyperlinks>
    <hyperlink ref="B12" r:id="rId1" xr:uid="{E732AB78-E391-4CD2-92B7-B641CDDBD263}"/>
    <hyperlink ref="B13" r:id="rId2" xr:uid="{D047D466-BDAD-437D-94BB-3749511312E0}"/>
    <hyperlink ref="B16" r:id="rId3" xr:uid="{681578F0-462F-4D0C-B3F7-F5E45A0B6C9D}"/>
    <hyperlink ref="A4" location="'Excel Formulas'!A1" display="Excel Formulas" xr:uid="{0AA14B4F-5531-49F4-8F9D-778EA61F7763}"/>
    <hyperlink ref="A5" location="'Quick Practice'!A1" display="Quick Practice" xr:uid="{2C7F0824-24A4-407F-97D5-481B4BAC6E6C}"/>
    <hyperlink ref="A6" location="Instructions!A1" display="Instructions" xr:uid="{D537F65E-CCC7-42A4-8730-013DAE1752F1}"/>
    <hyperlink ref="A7" location="Exercise!A1" display="Exercise" xr:uid="{6D005B11-423E-459F-A051-84A32FA6B1A5}"/>
    <hyperlink ref="A8" location="IndirectDemo!A1" display="IndirectDemo" xr:uid="{6553DBFF-E4C5-40DA-9146-214EE9A8E730}"/>
    <hyperlink ref="A9" location="ProblemValues!A1" display="ProblemValues" xr:uid="{FDFFAF0B-C1E4-4799-8E8A-C1D5A58F75B5}"/>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1444"/>
    <pageSetUpPr fitToPage="1"/>
  </sheetPr>
  <dimension ref="A1:D169"/>
  <sheetViews>
    <sheetView workbookViewId="0"/>
  </sheetViews>
  <sheetFormatPr defaultRowHeight="15.5" x14ac:dyDescent="0.35"/>
  <cols>
    <col min="1" max="1" width="37" style="47" customWidth="1"/>
    <col min="2" max="2" width="13.1796875" style="40" customWidth="1"/>
    <col min="3" max="3" width="156.54296875" style="55" customWidth="1"/>
  </cols>
  <sheetData>
    <row r="1" spans="1:4" s="33" customFormat="1" x14ac:dyDescent="0.35">
      <c r="A1" s="48"/>
      <c r="B1" s="37"/>
      <c r="C1" s="56"/>
    </row>
    <row r="2" spans="1:4" ht="31" x14ac:dyDescent="0.7">
      <c r="A2" s="97" t="s">
        <v>26</v>
      </c>
      <c r="B2" s="97"/>
      <c r="C2" s="98"/>
      <c r="D2" s="98"/>
    </row>
    <row r="3" spans="1:4" x14ac:dyDescent="0.35">
      <c r="B3" s="38"/>
      <c r="C3" s="45" t="s">
        <v>33</v>
      </c>
    </row>
    <row r="4" spans="1:4" x14ac:dyDescent="0.35">
      <c r="B4" s="39"/>
      <c r="C4" s="58" t="s">
        <v>63</v>
      </c>
    </row>
    <row r="5" spans="1:4" x14ac:dyDescent="0.35">
      <c r="B5" s="39"/>
      <c r="C5" s="58" t="s">
        <v>64</v>
      </c>
    </row>
    <row r="6" spans="1:4" x14ac:dyDescent="0.35">
      <c r="B6" s="39"/>
      <c r="C6" s="58" t="s">
        <v>74</v>
      </c>
    </row>
    <row r="7" spans="1:4" x14ac:dyDescent="0.35">
      <c r="B7" s="39"/>
      <c r="C7" s="58" t="s">
        <v>76</v>
      </c>
    </row>
    <row r="8" spans="1:4" x14ac:dyDescent="0.35">
      <c r="B8" s="39"/>
      <c r="C8" s="58" t="s">
        <v>87</v>
      </c>
    </row>
    <row r="9" spans="1:4" x14ac:dyDescent="0.35">
      <c r="B9" s="39"/>
      <c r="C9" s="58" t="s">
        <v>105</v>
      </c>
    </row>
    <row r="10" spans="1:4" x14ac:dyDescent="0.35">
      <c r="B10" s="39"/>
      <c r="C10" s="58" t="s">
        <v>118</v>
      </c>
    </row>
    <row r="11" spans="1:4" x14ac:dyDescent="0.35">
      <c r="C11" s="53"/>
    </row>
    <row r="12" spans="1:4" s="32" customFormat="1" ht="23.5" x14ac:dyDescent="0.55000000000000004">
      <c r="A12" s="49"/>
      <c r="B12" s="41"/>
      <c r="C12" s="51" t="s">
        <v>46</v>
      </c>
    </row>
    <row r="13" spans="1:4" x14ac:dyDescent="0.35">
      <c r="C13" s="57"/>
    </row>
    <row r="14" spans="1:4" x14ac:dyDescent="0.35">
      <c r="A14" s="50" t="s">
        <v>27</v>
      </c>
      <c r="B14" s="42" t="s">
        <v>28</v>
      </c>
      <c r="C14" s="52" t="s">
        <v>40</v>
      </c>
    </row>
    <row r="15" spans="1:4" x14ac:dyDescent="0.35">
      <c r="A15" s="46" t="s">
        <v>39</v>
      </c>
      <c r="B15" s="43">
        <f>2+3</f>
        <v>5</v>
      </c>
      <c r="C15" s="52" t="s">
        <v>29</v>
      </c>
    </row>
    <row r="16" spans="1:4" x14ac:dyDescent="0.35">
      <c r="C16" s="52"/>
    </row>
    <row r="17" spans="1:3" x14ac:dyDescent="0.35">
      <c r="C17" s="52" t="s">
        <v>30</v>
      </c>
    </row>
    <row r="18" spans="1:3" x14ac:dyDescent="0.35">
      <c r="C18" s="52" t="s">
        <v>31</v>
      </c>
    </row>
    <row r="19" spans="1:3" x14ac:dyDescent="0.35">
      <c r="A19" s="34" t="s">
        <v>34</v>
      </c>
      <c r="B19" s="40">
        <f>SUM(2,2,1)</f>
        <v>5</v>
      </c>
      <c r="C19" s="52" t="s">
        <v>47</v>
      </c>
    </row>
    <row r="20" spans="1:3" x14ac:dyDescent="0.35">
      <c r="A20" s="34"/>
      <c r="C20" s="52" t="s">
        <v>43</v>
      </c>
    </row>
    <row r="21" spans="1:3" x14ac:dyDescent="0.35">
      <c r="A21" s="46"/>
      <c r="C21" s="52" t="s">
        <v>44</v>
      </c>
    </row>
    <row r="22" spans="1:3" ht="23.5" x14ac:dyDescent="0.55000000000000004">
      <c r="C22" s="59"/>
    </row>
    <row r="23" spans="1:3" s="32" customFormat="1" x14ac:dyDescent="0.35">
      <c r="A23" s="49"/>
      <c r="B23" s="41"/>
      <c r="C23" s="60" t="s">
        <v>65</v>
      </c>
    </row>
    <row r="24" spans="1:3" ht="23.5" x14ac:dyDescent="0.55000000000000004">
      <c r="B24" s="44"/>
      <c r="C24" s="59" t="s">
        <v>32</v>
      </c>
    </row>
    <row r="25" spans="1:3" x14ac:dyDescent="0.35">
      <c r="B25" s="44">
        <v>1</v>
      </c>
      <c r="C25" s="53"/>
    </row>
    <row r="26" spans="1:3" x14ac:dyDescent="0.35">
      <c r="B26" s="44">
        <v>2</v>
      </c>
      <c r="C26" s="52" t="s">
        <v>45</v>
      </c>
    </row>
    <row r="27" spans="1:3" x14ac:dyDescent="0.35">
      <c r="B27" s="44">
        <v>3</v>
      </c>
      <c r="C27" s="52" t="s">
        <v>35</v>
      </c>
    </row>
    <row r="28" spans="1:3" x14ac:dyDescent="0.35">
      <c r="A28" s="50"/>
      <c r="C28" s="52" t="s">
        <v>36</v>
      </c>
    </row>
    <row r="29" spans="1:3" x14ac:dyDescent="0.35">
      <c r="A29" s="50" t="s">
        <v>27</v>
      </c>
      <c r="B29" s="42" t="s">
        <v>28</v>
      </c>
      <c r="C29" s="54"/>
    </row>
    <row r="30" spans="1:3" x14ac:dyDescent="0.35">
      <c r="A30" s="34" t="s">
        <v>52</v>
      </c>
      <c r="B30" s="40">
        <f>SUM(2,3)</f>
        <v>5</v>
      </c>
      <c r="C30" s="54"/>
    </row>
    <row r="31" spans="1:3" x14ac:dyDescent="0.35">
      <c r="A31" s="34" t="s">
        <v>53</v>
      </c>
      <c r="B31" s="40">
        <f>SUM(2,3,1)</f>
        <v>6</v>
      </c>
      <c r="C31" s="54" t="s">
        <v>37</v>
      </c>
    </row>
    <row r="32" spans="1:3" x14ac:dyDescent="0.35">
      <c r="A32" s="34" t="s">
        <v>54</v>
      </c>
      <c r="B32" s="40" t="e">
        <f>SUM(2,3,"cat")</f>
        <v>#VALUE!</v>
      </c>
      <c r="C32" s="54" t="s">
        <v>38</v>
      </c>
    </row>
    <row r="33" spans="1:3" ht="31" x14ac:dyDescent="0.35">
      <c r="A33" s="34" t="s">
        <v>131</v>
      </c>
      <c r="B33" s="40">
        <f>SUM(2,B25)</f>
        <v>3</v>
      </c>
      <c r="C33" s="54" t="s">
        <v>132</v>
      </c>
    </row>
    <row r="34" spans="1:3" ht="39.75" customHeight="1" x14ac:dyDescent="0.35">
      <c r="A34" s="34" t="s">
        <v>133</v>
      </c>
      <c r="B34" s="40">
        <f>SUM(2,B25:B27)</f>
        <v>8</v>
      </c>
      <c r="C34" s="54" t="s">
        <v>134</v>
      </c>
    </row>
    <row r="35" spans="1:3" x14ac:dyDescent="0.35">
      <c r="C35" s="54" t="s">
        <v>41</v>
      </c>
    </row>
    <row r="36" spans="1:3" x14ac:dyDescent="0.35">
      <c r="C36" s="54"/>
    </row>
    <row r="37" spans="1:3" x14ac:dyDescent="0.35">
      <c r="A37" s="50" t="s">
        <v>27</v>
      </c>
      <c r="B37" s="42" t="s">
        <v>28</v>
      </c>
      <c r="C37" s="54"/>
    </row>
    <row r="38" spans="1:3" ht="46.5" x14ac:dyDescent="0.35">
      <c r="A38" s="46" t="s">
        <v>57</v>
      </c>
      <c r="B38" s="40" t="str">
        <f>LEFT("Excel is fun")</f>
        <v>E</v>
      </c>
      <c r="C38" s="54" t="s">
        <v>48</v>
      </c>
    </row>
    <row r="39" spans="1:3" x14ac:dyDescent="0.35">
      <c r="A39" s="46" t="s">
        <v>58</v>
      </c>
      <c r="B39" s="40" t="str">
        <f>LEFT("Excel is fun",5)</f>
        <v>Excel</v>
      </c>
      <c r="C39" s="55" t="s">
        <v>49</v>
      </c>
    </row>
    <row r="40" spans="1:3" x14ac:dyDescent="0.35">
      <c r="A40" s="46" t="s">
        <v>59</v>
      </c>
      <c r="B40" s="40" t="str">
        <f>LEFT("Excel is fun",2+3)</f>
        <v>Excel</v>
      </c>
      <c r="C40" s="55" t="s">
        <v>50</v>
      </c>
    </row>
    <row r="41" spans="1:3" ht="46.5" x14ac:dyDescent="0.35">
      <c r="A41" s="46" t="s">
        <v>60</v>
      </c>
      <c r="B41" s="40" t="str">
        <f>LEFT("Excel is fun",SUM(2,3))</f>
        <v>Excel</v>
      </c>
      <c r="C41" s="55" t="s">
        <v>135</v>
      </c>
    </row>
    <row r="42" spans="1:3" ht="46.5" x14ac:dyDescent="0.35">
      <c r="A42" s="46" t="s">
        <v>136</v>
      </c>
      <c r="B42" s="40" t="str">
        <f>LEFT("Wow"&amp;A37,SUM(B25:B27)+1)</f>
        <v>WowForm</v>
      </c>
      <c r="C42" s="55" t="s">
        <v>62</v>
      </c>
    </row>
    <row r="44" spans="1:3" ht="23.5" x14ac:dyDescent="0.55000000000000004">
      <c r="C44" s="59"/>
    </row>
    <row r="45" spans="1:3" s="32" customFormat="1" x14ac:dyDescent="0.35">
      <c r="A45" s="49"/>
      <c r="B45" s="41"/>
      <c r="C45" s="60" t="s">
        <v>65</v>
      </c>
    </row>
    <row r="46" spans="1:3" ht="23.5" x14ac:dyDescent="0.55000000000000004">
      <c r="B46" s="44"/>
      <c r="C46" s="59" t="s">
        <v>73</v>
      </c>
    </row>
    <row r="47" spans="1:3" x14ac:dyDescent="0.35">
      <c r="C47" s="61"/>
    </row>
    <row r="48" spans="1:3" ht="46.5" x14ac:dyDescent="0.35">
      <c r="B48" s="47" t="s">
        <v>68</v>
      </c>
      <c r="C48" s="63" t="s">
        <v>72</v>
      </c>
    </row>
    <row r="49" spans="1:3" s="9" customFormat="1" ht="20.25" customHeight="1" x14ac:dyDescent="0.35">
      <c r="A49" s="65"/>
      <c r="B49" s="65"/>
      <c r="C49" s="63" t="s">
        <v>67</v>
      </c>
    </row>
    <row r="50" spans="1:3" x14ac:dyDescent="0.35">
      <c r="B50" s="64"/>
    </row>
    <row r="51" spans="1:3" x14ac:dyDescent="0.35">
      <c r="B51" s="64"/>
    </row>
    <row r="52" spans="1:3" x14ac:dyDescent="0.35">
      <c r="B52" s="64"/>
    </row>
    <row r="53" spans="1:3" x14ac:dyDescent="0.35">
      <c r="B53" s="64"/>
    </row>
    <row r="54" spans="1:3" x14ac:dyDescent="0.35">
      <c r="B54" s="64"/>
    </row>
    <row r="55" spans="1:3" x14ac:dyDescent="0.35">
      <c r="B55" s="64"/>
    </row>
    <row r="56" spans="1:3" ht="31" x14ac:dyDescent="0.35">
      <c r="A56" s="99" t="s">
        <v>66</v>
      </c>
      <c r="B56" s="100"/>
      <c r="C56" s="55" t="s">
        <v>69</v>
      </c>
    </row>
    <row r="57" spans="1:3" ht="31" x14ac:dyDescent="0.35">
      <c r="A57" s="99" t="s">
        <v>70</v>
      </c>
      <c r="B57" s="100"/>
      <c r="C57" s="55" t="s">
        <v>71</v>
      </c>
    </row>
    <row r="69" spans="1:3" ht="23.5" x14ac:dyDescent="0.55000000000000004">
      <c r="C69" s="59"/>
    </row>
    <row r="70" spans="1:3" s="32" customFormat="1" x14ac:dyDescent="0.35">
      <c r="A70" s="49"/>
      <c r="B70" s="41"/>
      <c r="C70" s="60" t="s">
        <v>65</v>
      </c>
    </row>
    <row r="71" spans="1:3" ht="23.5" x14ac:dyDescent="0.55000000000000004">
      <c r="B71" s="44"/>
      <c r="C71" s="59" t="s">
        <v>75</v>
      </c>
    </row>
    <row r="72" spans="1:3" x14ac:dyDescent="0.35">
      <c r="B72" s="47"/>
      <c r="C72" s="62"/>
    </row>
    <row r="73" spans="1:3" x14ac:dyDescent="0.35">
      <c r="B73" s="47" t="s">
        <v>77</v>
      </c>
      <c r="C73" s="55" t="s">
        <v>78</v>
      </c>
    </row>
    <row r="74" spans="1:3" x14ac:dyDescent="0.35">
      <c r="B74" s="47"/>
    </row>
    <row r="75" spans="1:3" x14ac:dyDescent="0.35">
      <c r="B75" s="47"/>
    </row>
    <row r="76" spans="1:3" x14ac:dyDescent="0.35">
      <c r="B76" s="47"/>
    </row>
    <row r="77" spans="1:3" x14ac:dyDescent="0.35">
      <c r="B77" s="47"/>
    </row>
    <row r="78" spans="1:3" x14ac:dyDescent="0.35">
      <c r="B78" s="47"/>
    </row>
    <row r="79" spans="1:3" x14ac:dyDescent="0.35">
      <c r="B79" s="47"/>
    </row>
    <row r="80" spans="1:3" x14ac:dyDescent="0.35">
      <c r="B80" s="47"/>
    </row>
    <row r="81" spans="1:3" ht="31" x14ac:dyDescent="0.35">
      <c r="B81" s="47" t="s">
        <v>79</v>
      </c>
      <c r="C81" s="55" t="s">
        <v>80</v>
      </c>
    </row>
    <row r="88" spans="1:3" ht="31" x14ac:dyDescent="0.35">
      <c r="B88" s="47" t="s">
        <v>79</v>
      </c>
      <c r="C88" s="55" t="s">
        <v>81</v>
      </c>
    </row>
    <row r="92" spans="1:3" x14ac:dyDescent="0.35">
      <c r="A92" s="66"/>
    </row>
    <row r="93" spans="1:3" ht="31" x14ac:dyDescent="0.35">
      <c r="B93" s="47" t="s">
        <v>82</v>
      </c>
      <c r="C93" s="55" t="s">
        <v>85</v>
      </c>
    </row>
    <row r="94" spans="1:3" x14ac:dyDescent="0.35">
      <c r="B94" s="40" t="s">
        <v>83</v>
      </c>
    </row>
    <row r="95" spans="1:3" x14ac:dyDescent="0.35">
      <c r="B95" s="47" t="s">
        <v>84</v>
      </c>
    </row>
    <row r="103" spans="1:3" ht="23.5" x14ac:dyDescent="0.55000000000000004">
      <c r="C103" s="59"/>
    </row>
    <row r="104" spans="1:3" s="32" customFormat="1" x14ac:dyDescent="0.35">
      <c r="A104" s="49"/>
      <c r="B104" s="41"/>
      <c r="C104" s="60" t="s">
        <v>65</v>
      </c>
    </row>
    <row r="105" spans="1:3" ht="23.5" x14ac:dyDescent="0.55000000000000004">
      <c r="B105" s="44"/>
      <c r="C105" s="59" t="s">
        <v>86</v>
      </c>
    </row>
    <row r="106" spans="1:3" x14ac:dyDescent="0.35">
      <c r="B106" s="47"/>
      <c r="C106" s="62"/>
    </row>
    <row r="107" spans="1:3" ht="31" x14ac:dyDescent="0.35">
      <c r="B107" s="50" t="s">
        <v>99</v>
      </c>
      <c r="C107" s="55" t="s">
        <v>94</v>
      </c>
    </row>
    <row r="108" spans="1:3" x14ac:dyDescent="0.35">
      <c r="A108" s="47">
        <v>1</v>
      </c>
      <c r="B108" s="67" t="s">
        <v>92</v>
      </c>
      <c r="C108" s="53" t="s">
        <v>139</v>
      </c>
    </row>
    <row r="109" spans="1:3" x14ac:dyDescent="0.35">
      <c r="A109" s="47">
        <v>2</v>
      </c>
      <c r="B109" s="67" t="s">
        <v>137</v>
      </c>
      <c r="C109" s="62"/>
    </row>
    <row r="110" spans="1:3" x14ac:dyDescent="0.35">
      <c r="A110" s="47">
        <v>3</v>
      </c>
      <c r="B110" s="67" t="s">
        <v>138</v>
      </c>
      <c r="C110" s="62"/>
    </row>
    <row r="111" spans="1:3" x14ac:dyDescent="0.35">
      <c r="B111" s="46"/>
      <c r="C111" s="62"/>
    </row>
    <row r="112" spans="1:3" x14ac:dyDescent="0.35">
      <c r="B112" s="47" t="s">
        <v>88</v>
      </c>
      <c r="C112" s="55" t="s">
        <v>89</v>
      </c>
    </row>
    <row r="113" spans="2:3" x14ac:dyDescent="0.35">
      <c r="B113" s="47" t="s">
        <v>96</v>
      </c>
      <c r="C113" s="55" t="s">
        <v>95</v>
      </c>
    </row>
    <row r="114" spans="2:3" x14ac:dyDescent="0.35">
      <c r="B114" s="47"/>
    </row>
    <row r="119" spans="2:3" x14ac:dyDescent="0.35">
      <c r="B119" s="47" t="s">
        <v>97</v>
      </c>
      <c r="C119" s="55" t="s">
        <v>100</v>
      </c>
    </row>
    <row r="120" spans="2:3" x14ac:dyDescent="0.35">
      <c r="B120" s="47" t="s">
        <v>98</v>
      </c>
      <c r="C120" s="55" t="s">
        <v>101</v>
      </c>
    </row>
    <row r="121" spans="2:3" x14ac:dyDescent="0.35">
      <c r="B121" s="47"/>
    </row>
    <row r="123" spans="2:3" ht="31" x14ac:dyDescent="0.35">
      <c r="B123" s="50" t="s">
        <v>102</v>
      </c>
      <c r="C123" s="55" t="s">
        <v>103</v>
      </c>
    </row>
    <row r="135" spans="1:3" ht="23.5" x14ac:dyDescent="0.55000000000000004">
      <c r="C135" s="59"/>
    </row>
    <row r="136" spans="1:3" s="32" customFormat="1" x14ac:dyDescent="0.35">
      <c r="A136" s="49"/>
      <c r="B136" s="41"/>
      <c r="C136" s="60" t="s">
        <v>65</v>
      </c>
    </row>
    <row r="137" spans="1:3" ht="23.5" x14ac:dyDescent="0.55000000000000004">
      <c r="B137" s="44"/>
      <c r="C137" s="59" t="s">
        <v>151</v>
      </c>
    </row>
    <row r="138" spans="1:3" x14ac:dyDescent="0.35">
      <c r="C138" s="62"/>
    </row>
    <row r="139" spans="1:3" ht="46.5" x14ac:dyDescent="0.35">
      <c r="B139" s="68" t="s">
        <v>106</v>
      </c>
      <c r="C139" s="53" t="s">
        <v>152</v>
      </c>
    </row>
    <row r="140" spans="1:3" ht="46.5" x14ac:dyDescent="0.35">
      <c r="B140" s="79">
        <v>1</v>
      </c>
      <c r="C140" s="61" t="s">
        <v>153</v>
      </c>
    </row>
    <row r="141" spans="1:3" ht="20.25" customHeight="1" x14ac:dyDescent="0.35">
      <c r="B141" s="78">
        <v>2</v>
      </c>
      <c r="C141" s="55" t="s">
        <v>140</v>
      </c>
    </row>
    <row r="142" spans="1:3" x14ac:dyDescent="0.35">
      <c r="B142" s="77">
        <v>3</v>
      </c>
      <c r="C142" s="62"/>
    </row>
    <row r="143" spans="1:3" ht="31" x14ac:dyDescent="0.35">
      <c r="A143" s="50" t="s">
        <v>119</v>
      </c>
      <c r="B143" s="42" t="s">
        <v>28</v>
      </c>
      <c r="C143" s="55" t="s">
        <v>141</v>
      </c>
    </row>
    <row r="144" spans="1:3" x14ac:dyDescent="0.35">
      <c r="A144" s="46" t="s">
        <v>143</v>
      </c>
      <c r="B144" s="40" t="str">
        <f>LEFT(B139,B140)</f>
        <v>C</v>
      </c>
    </row>
    <row r="145" spans="1:3" x14ac:dyDescent="0.35">
      <c r="A145" s="46" t="s">
        <v>144</v>
      </c>
      <c r="B145" s="40" t="str">
        <f t="shared" ref="B145" si="0">LEFT(B140,B141)</f>
        <v>1</v>
      </c>
      <c r="C145" s="62"/>
    </row>
    <row r="146" spans="1:3" x14ac:dyDescent="0.35">
      <c r="A146" s="46" t="s">
        <v>145</v>
      </c>
      <c r="B146" s="40" t="str">
        <f>LEFT(B141,B142)</f>
        <v>2</v>
      </c>
      <c r="C146" s="62"/>
    </row>
    <row r="147" spans="1:3" ht="31" x14ac:dyDescent="0.35">
      <c r="A147" s="50" t="s">
        <v>120</v>
      </c>
      <c r="B147" s="42" t="s">
        <v>28</v>
      </c>
      <c r="C147" s="52" t="s">
        <v>142</v>
      </c>
    </row>
    <row r="148" spans="1:3" x14ac:dyDescent="0.35">
      <c r="A148" s="46" t="s">
        <v>146</v>
      </c>
      <c r="B148" s="40" t="str">
        <f>LEFT($B$139,B140)</f>
        <v>C</v>
      </c>
      <c r="C148" s="62"/>
    </row>
    <row r="149" spans="1:3" x14ac:dyDescent="0.35">
      <c r="A149" s="46" t="s">
        <v>147</v>
      </c>
      <c r="B149" s="40" t="str">
        <f t="shared" ref="B149:B150" si="1">LEFT($B$139,B141)</f>
        <v>Ca</v>
      </c>
      <c r="C149" s="62"/>
    </row>
    <row r="150" spans="1:3" x14ac:dyDescent="0.35">
      <c r="A150" s="46" t="s">
        <v>148</v>
      </c>
      <c r="B150" s="40" t="str">
        <f t="shared" si="1"/>
        <v>Cat</v>
      </c>
      <c r="C150" s="62"/>
    </row>
    <row r="151" spans="1:3" ht="23.5" x14ac:dyDescent="0.55000000000000004">
      <c r="C151" s="59"/>
    </row>
    <row r="152" spans="1:3" s="32" customFormat="1" x14ac:dyDescent="0.35">
      <c r="A152" s="49"/>
      <c r="B152" s="41"/>
      <c r="C152" s="60" t="s">
        <v>65</v>
      </c>
    </row>
    <row r="153" spans="1:3" ht="23.5" x14ac:dyDescent="0.55000000000000004">
      <c r="B153" s="44"/>
      <c r="C153" s="59" t="s">
        <v>117</v>
      </c>
    </row>
    <row r="154" spans="1:3" x14ac:dyDescent="0.35">
      <c r="A154" s="42"/>
    </row>
    <row r="155" spans="1:3" x14ac:dyDescent="0.35">
      <c r="C155" s="55" t="s">
        <v>125</v>
      </c>
    </row>
    <row r="156" spans="1:3" x14ac:dyDescent="0.35">
      <c r="B156" s="47" t="s">
        <v>124</v>
      </c>
    </row>
    <row r="157" spans="1:3" x14ac:dyDescent="0.35">
      <c r="B157" s="40" t="s">
        <v>83</v>
      </c>
    </row>
    <row r="158" spans="1:3" x14ac:dyDescent="0.35">
      <c r="B158" s="47" t="s">
        <v>126</v>
      </c>
    </row>
    <row r="159" spans="1:3" x14ac:dyDescent="0.35">
      <c r="B159" s="40" t="s">
        <v>83</v>
      </c>
    </row>
    <row r="160" spans="1:3" x14ac:dyDescent="0.35">
      <c r="B160" s="47" t="s">
        <v>154</v>
      </c>
    </row>
    <row r="162" spans="1:3" x14ac:dyDescent="0.35">
      <c r="A162" s="50"/>
    </row>
    <row r="163" spans="1:3" x14ac:dyDescent="0.35">
      <c r="A163" s="47" t="s">
        <v>123</v>
      </c>
      <c r="C163" s="55" t="s">
        <v>155</v>
      </c>
    </row>
    <row r="165" spans="1:3" x14ac:dyDescent="0.35">
      <c r="A165" s="50" t="s">
        <v>27</v>
      </c>
      <c r="B165" s="42" t="s">
        <v>28</v>
      </c>
    </row>
    <row r="166" spans="1:3" x14ac:dyDescent="0.35">
      <c r="A166" s="46" t="s">
        <v>156</v>
      </c>
      <c r="B166" s="40" t="str">
        <f>LEFT(A163,8)</f>
        <v xml:space="preserve">My name </v>
      </c>
      <c r="C166" s="55" t="s">
        <v>130</v>
      </c>
    </row>
    <row r="167" spans="1:3" x14ac:dyDescent="0.35">
      <c r="A167" s="46" t="s">
        <v>127</v>
      </c>
      <c r="B167" s="40" t="str">
        <f>LEFT(Miow,8)</f>
        <v xml:space="preserve">My name </v>
      </c>
    </row>
    <row r="169" spans="1:3" s="33" customFormat="1" x14ac:dyDescent="0.35">
      <c r="A169" s="48"/>
      <c r="B169" s="37"/>
      <c r="C169" s="56"/>
    </row>
  </sheetData>
  <mergeCells count="3">
    <mergeCell ref="A2:D2"/>
    <mergeCell ref="A56:B56"/>
    <mergeCell ref="A57:B57"/>
  </mergeCells>
  <hyperlinks>
    <hyperlink ref="C4" location="What_is_a_Formula?" display="What is a formula?" xr:uid="{00000000-0004-0000-0000-000000000000}"/>
    <hyperlink ref="C5" location="Anatomy_of_a_Formula" display="Anatomy of a formula" xr:uid="{00000000-0004-0000-0000-000001000000}"/>
    <hyperlink ref="C23" location="TopMenu" display="Back to Top" xr:uid="{00000000-0004-0000-0000-000002000000}"/>
    <hyperlink ref="C45" location="TopMenu" display="Back to Top" xr:uid="{00000000-0004-0000-0000-000003000000}"/>
    <hyperlink ref="C6" location="Working_with_Formulas" display="Working with formulas" xr:uid="{00000000-0004-0000-0000-000004000000}"/>
    <hyperlink ref="C70" location="TopMenu" display="Back to Top" xr:uid="{00000000-0004-0000-0000-000005000000}"/>
    <hyperlink ref="C7" location="Viewing_and_Finding_Formulas" display="Viewing and finding formulas" xr:uid="{00000000-0004-0000-0000-000006000000}"/>
    <hyperlink ref="C104" location="TopMenu" display="Back to Top" xr:uid="{00000000-0004-0000-0000-000007000000}"/>
    <hyperlink ref="C8" location="Copying__Pasting__and_Dragging_Formulas" display="Copying, pasting, and dragging formulas" xr:uid="{00000000-0004-0000-0000-000008000000}"/>
    <hyperlink ref="C136" location="TopMenu" display="Back to Top" xr:uid="{00000000-0004-0000-0000-000009000000}"/>
    <hyperlink ref="C9" location="Relative_and_Absolute_Cell_Addresses_in_Formulas" display="Relative and absolute cell addresses and formulas" xr:uid="{00000000-0004-0000-0000-00000A000000}"/>
    <hyperlink ref="C152" location="TopMenu" display="Back to Top" xr:uid="{00000000-0004-0000-0000-00000B000000}"/>
    <hyperlink ref="C10" location="Names_in_Formulas" display="Names in formulas" xr:uid="{00000000-0004-0000-0000-00000C000000}"/>
  </hyperlinks>
  <printOptions gridLines="1"/>
  <pageMargins left="0.25" right="0.25" top="0.75" bottom="0.75" header="0.3" footer="0.3"/>
  <pageSetup scale="62"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9FA0-5B60-4318-8FD7-779362A63C25}">
  <sheetPr>
    <tabColor rgb="FF002060"/>
  </sheetPr>
  <dimension ref="A1:J47"/>
  <sheetViews>
    <sheetView workbookViewId="0"/>
  </sheetViews>
  <sheetFormatPr defaultRowHeight="14.5" x14ac:dyDescent="0.35"/>
  <cols>
    <col min="1" max="3" width="17.08984375" customWidth="1"/>
    <col min="4" max="4" width="4.453125" customWidth="1"/>
    <col min="5" max="5" width="26.26953125" customWidth="1"/>
    <col min="6" max="6" width="3.453125" customWidth="1"/>
    <col min="7" max="7" width="26.26953125" customWidth="1"/>
    <col min="8" max="8" width="3.453125" customWidth="1"/>
    <col min="9" max="9" width="26.26953125" customWidth="1"/>
  </cols>
  <sheetData>
    <row r="1" spans="1:10" ht="23.5" x14ac:dyDescent="0.55000000000000004">
      <c r="A1" s="80" t="s">
        <v>164</v>
      </c>
      <c r="C1" s="90">
        <v>1</v>
      </c>
      <c r="D1" s="90">
        <v>2</v>
      </c>
      <c r="E1" s="90">
        <v>3</v>
      </c>
      <c r="F1" s="90">
        <v>4</v>
      </c>
    </row>
    <row r="3" spans="1:10" ht="20" thickBot="1" x14ac:dyDescent="0.5">
      <c r="A3" s="81" t="s">
        <v>165</v>
      </c>
      <c r="B3" s="81"/>
      <c r="C3" s="81"/>
      <c r="D3" s="81"/>
      <c r="E3" s="81"/>
      <c r="F3" s="81"/>
      <c r="G3" s="81"/>
      <c r="H3" s="81"/>
      <c r="I3" s="81"/>
      <c r="J3" s="81"/>
    </row>
    <row r="4" spans="1:10" ht="15" thickTop="1" x14ac:dyDescent="0.35"/>
    <row r="5" spans="1:10" ht="43.5" x14ac:dyDescent="0.35">
      <c r="A5" s="82" t="s">
        <v>166</v>
      </c>
      <c r="B5" s="82" t="s">
        <v>167</v>
      </c>
      <c r="C5" s="82" t="s">
        <v>201</v>
      </c>
      <c r="E5" s="83" t="s">
        <v>168</v>
      </c>
      <c r="G5" s="83" t="s">
        <v>169</v>
      </c>
      <c r="I5" s="83" t="s">
        <v>170</v>
      </c>
    </row>
    <row r="6" spans="1:10" x14ac:dyDescent="0.35">
      <c r="A6" s="2">
        <v>1</v>
      </c>
      <c r="B6" s="2">
        <v>1</v>
      </c>
      <c r="C6" s="2" t="s">
        <v>202</v>
      </c>
      <c r="E6" s="85"/>
      <c r="G6" s="85"/>
      <c r="I6" s="85"/>
      <c r="J6" s="84" t="str">
        <f>IF(I6&lt;&gt;"","Change B6 from a '1' to a '2' and note the change","")</f>
        <v/>
      </c>
    </row>
    <row r="8" spans="1:10" ht="43.5" x14ac:dyDescent="0.35">
      <c r="A8" s="86" t="s">
        <v>182</v>
      </c>
      <c r="B8" s="86" t="s">
        <v>183</v>
      </c>
      <c r="E8" s="83" t="s">
        <v>171</v>
      </c>
      <c r="G8" s="83" t="s">
        <v>172</v>
      </c>
      <c r="I8" s="83" t="s">
        <v>173</v>
      </c>
    </row>
    <row r="9" spans="1:10" x14ac:dyDescent="0.35">
      <c r="A9" s="87">
        <v>46113</v>
      </c>
      <c r="B9" s="87">
        <v>46148</v>
      </c>
      <c r="E9" s="85"/>
      <c r="G9" s="85"/>
      <c r="I9" s="85"/>
      <c r="J9" s="84" t="str">
        <f>IF(I9&lt;&gt;"","You can add a pigeon to a number?!","")</f>
        <v/>
      </c>
    </row>
    <row r="11" spans="1:10" x14ac:dyDescent="0.35">
      <c r="E11" s="83" t="s">
        <v>175</v>
      </c>
      <c r="I11" s="83" t="s">
        <v>174</v>
      </c>
    </row>
    <row r="12" spans="1:10" x14ac:dyDescent="0.35">
      <c r="E12" s="88"/>
      <c r="F12" s="84" t="str">
        <f>IF(E12&lt;&gt;"",IF(ISNUMBER(E12),"Great!","Now remove the apostrophe"),"")</f>
        <v/>
      </c>
      <c r="I12" s="85"/>
      <c r="J12" s="84" t="str">
        <f>IFERROR(IF(I12&lt;&gt;"","Now, the pigeon is a problem!",""),"Now, the pigeon is a problem!")</f>
        <v/>
      </c>
    </row>
    <row r="14" spans="1:10" ht="43.5" x14ac:dyDescent="0.35">
      <c r="E14" s="83" t="s">
        <v>180</v>
      </c>
      <c r="G14" s="83" t="s">
        <v>176</v>
      </c>
      <c r="I14" s="83" t="s">
        <v>177</v>
      </c>
    </row>
    <row r="15" spans="1:10" x14ac:dyDescent="0.35">
      <c r="E15" s="85"/>
      <c r="G15" s="85"/>
      <c r="I15" s="85"/>
      <c r="J15" s="84" t="str">
        <f>IFERROR(IF(I15&lt;&gt;"","Oops, that second argument should be a number, not a pigeon!",""),"Ooops, that second argument should be a number, not a pigeon!")</f>
        <v/>
      </c>
    </row>
    <row r="16" spans="1:10" x14ac:dyDescent="0.35">
      <c r="I16" s="85"/>
      <c r="J16" s="84" t="s">
        <v>184</v>
      </c>
    </row>
    <row r="18" spans="1:10" ht="87" x14ac:dyDescent="0.35">
      <c r="E18" s="83" t="s">
        <v>181</v>
      </c>
      <c r="G18" s="83" t="s">
        <v>178</v>
      </c>
      <c r="I18" s="83" t="s">
        <v>179</v>
      </c>
    </row>
    <row r="19" spans="1:10" x14ac:dyDescent="0.35">
      <c r="E19" s="85"/>
      <c r="G19" s="85"/>
      <c r="I19" s="85"/>
    </row>
    <row r="21" spans="1:10" ht="20" thickBot="1" x14ac:dyDescent="0.5">
      <c r="A21" s="81" t="s">
        <v>185</v>
      </c>
      <c r="B21" s="81"/>
      <c r="C21" s="81"/>
      <c r="D21" s="81"/>
      <c r="E21" s="81"/>
      <c r="F21" s="81"/>
      <c r="G21" s="81"/>
      <c r="H21" s="81"/>
      <c r="I21" s="81"/>
      <c r="J21" s="81"/>
    </row>
    <row r="22" spans="1:10" ht="15" thickTop="1" x14ac:dyDescent="0.35"/>
    <row r="23" spans="1:10" ht="46.5" customHeight="1" x14ac:dyDescent="0.35">
      <c r="A23" s="89" t="s">
        <v>186</v>
      </c>
      <c r="C23" s="89"/>
      <c r="E23" s="83" t="s">
        <v>188</v>
      </c>
      <c r="G23" s="83" t="s">
        <v>189</v>
      </c>
    </row>
    <row r="24" spans="1:10" x14ac:dyDescent="0.35">
      <c r="E24" s="85" t="str">
        <f>A23&amp;C23&amp;A26&amp;B27&amp;C26</f>
        <v>:)</v>
      </c>
      <c r="G24" s="85" t="str">
        <f>E24</f>
        <v>:)</v>
      </c>
      <c r="H24" s="84" t="s">
        <v>190</v>
      </c>
    </row>
    <row r="27" spans="1:10" x14ac:dyDescent="0.35">
      <c r="B27" s="89" t="s">
        <v>187</v>
      </c>
    </row>
    <row r="29" spans="1:10" ht="20" thickBot="1" x14ac:dyDescent="0.5">
      <c r="A29" s="81" t="s">
        <v>191</v>
      </c>
      <c r="B29" s="81"/>
      <c r="C29" s="81"/>
      <c r="D29" s="81"/>
      <c r="E29" s="81"/>
      <c r="F29" s="81"/>
      <c r="G29" s="81"/>
      <c r="H29" s="81"/>
      <c r="I29" s="81"/>
      <c r="J29" s="81"/>
    </row>
    <row r="30" spans="1:10" ht="15" thickTop="1" x14ac:dyDescent="0.35"/>
    <row r="31" spans="1:10" x14ac:dyDescent="0.35">
      <c r="A31" s="82" t="s">
        <v>192</v>
      </c>
    </row>
    <row r="32" spans="1:10" x14ac:dyDescent="0.35">
      <c r="A32" s="2">
        <v>10</v>
      </c>
    </row>
    <row r="34" spans="1:10" ht="58" x14ac:dyDescent="0.35">
      <c r="A34" s="83" t="s">
        <v>193</v>
      </c>
      <c r="B34" s="83" t="s">
        <v>194</v>
      </c>
      <c r="C34" s="83" t="s">
        <v>195</v>
      </c>
      <c r="E34" s="83" t="s">
        <v>198</v>
      </c>
    </row>
    <row r="35" spans="1:10" x14ac:dyDescent="0.35">
      <c r="A35" s="85">
        <f>ROW()</f>
        <v>35</v>
      </c>
      <c r="B35" s="85">
        <f>A35*A32</f>
        <v>350</v>
      </c>
      <c r="C35" s="85">
        <f>$A35*$A$32</f>
        <v>350</v>
      </c>
      <c r="E35" s="85">
        <f>SUM(A35:C35)</f>
        <v>735</v>
      </c>
      <c r="F35" s="84" t="s">
        <v>199</v>
      </c>
    </row>
    <row r="36" spans="1:10" x14ac:dyDescent="0.35">
      <c r="A36" s="85"/>
      <c r="B36" s="85"/>
      <c r="C36" s="85"/>
    </row>
    <row r="37" spans="1:10" x14ac:dyDescent="0.35">
      <c r="A37" s="85"/>
      <c r="B37" s="85"/>
      <c r="C37" s="85"/>
    </row>
    <row r="38" spans="1:10" x14ac:dyDescent="0.35">
      <c r="A38" s="85"/>
      <c r="B38" s="85"/>
      <c r="C38" s="85"/>
    </row>
    <row r="39" spans="1:10" x14ac:dyDescent="0.35">
      <c r="A39" s="85"/>
      <c r="B39" s="85"/>
      <c r="C39" s="85"/>
    </row>
    <row r="40" spans="1:10" x14ac:dyDescent="0.35">
      <c r="A40" s="85"/>
      <c r="B40" s="85"/>
      <c r="C40" s="85"/>
    </row>
    <row r="41" spans="1:10" ht="43.5" x14ac:dyDescent="0.35">
      <c r="B41" s="83" t="s">
        <v>196</v>
      </c>
      <c r="C41" s="83" t="s">
        <v>197</v>
      </c>
    </row>
    <row r="44" spans="1:10" ht="20" thickBot="1" x14ac:dyDescent="0.5">
      <c r="A44" s="81" t="s">
        <v>200</v>
      </c>
      <c r="B44" s="81"/>
      <c r="C44" s="81"/>
      <c r="D44" s="81"/>
      <c r="E44" s="81"/>
      <c r="F44" s="81"/>
      <c r="G44" s="81"/>
      <c r="H44" s="81"/>
      <c r="I44" s="81"/>
      <c r="J44" s="81"/>
    </row>
    <row r="45" spans="1:10" ht="15" thickTop="1" x14ac:dyDescent="0.35"/>
    <row r="46" spans="1:10" ht="101.5" x14ac:dyDescent="0.35">
      <c r="A46" s="83" t="s">
        <v>206</v>
      </c>
      <c r="B46" s="83" t="s">
        <v>204</v>
      </c>
      <c r="E46" s="83" t="s">
        <v>207</v>
      </c>
    </row>
    <row r="47" spans="1:10" x14ac:dyDescent="0.35">
      <c r="A47" s="85" t="s">
        <v>203</v>
      </c>
      <c r="B47" s="85" t="s">
        <v>205</v>
      </c>
      <c r="E47" s="85"/>
    </row>
  </sheetData>
  <hyperlinks>
    <hyperlink ref="C1" location="Quick1" display="Quick1" xr:uid="{276C17A2-1BFE-458D-9265-8A698693019B}"/>
    <hyperlink ref="D1" location="Quick2" display="Quick2" xr:uid="{4C65A85B-A86F-413A-A213-F83CB37B130B}"/>
    <hyperlink ref="E1" location="Quick3" display="Quick3" xr:uid="{2D65A5F4-BF1A-4DB4-91F3-EF98B8015BBC}"/>
    <hyperlink ref="F1" location="Quick4" display="Quick4" xr:uid="{5A4D66AF-DF75-46C4-BF36-C825B9E5F435}"/>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C39"/>
  <sheetViews>
    <sheetView topLeftCell="A16" workbookViewId="0"/>
  </sheetViews>
  <sheetFormatPr defaultColWidth="11.453125" defaultRowHeight="14.5" x14ac:dyDescent="0.35"/>
  <cols>
    <col min="1" max="1" width="5" style="2" customWidth="1"/>
    <col min="2" max="2" width="143.453125" style="9" customWidth="1"/>
    <col min="3" max="4" width="11.453125" customWidth="1"/>
  </cols>
  <sheetData>
    <row r="1" spans="1:3" ht="15.5" x14ac:dyDescent="0.35">
      <c r="B1" s="6" t="s">
        <v>0</v>
      </c>
      <c r="C1" s="3"/>
    </row>
    <row r="2" spans="1:3" ht="15.5" x14ac:dyDescent="0.35">
      <c r="B2" s="6"/>
      <c r="C2" s="3"/>
    </row>
    <row r="3" spans="1:3" ht="34.5" customHeight="1" x14ac:dyDescent="0.35">
      <c r="B3" s="5" t="s">
        <v>5</v>
      </c>
    </row>
    <row r="4" spans="1:3" ht="17.25" customHeight="1" x14ac:dyDescent="0.35">
      <c r="B4" s="5" t="s">
        <v>6</v>
      </c>
    </row>
    <row r="5" spans="1:3" ht="15.5" x14ac:dyDescent="0.35">
      <c r="B5" s="91" t="s">
        <v>208</v>
      </c>
    </row>
    <row r="6" spans="1:3" ht="17.25" customHeight="1" x14ac:dyDescent="0.35">
      <c r="A6" s="4">
        <v>1</v>
      </c>
      <c r="B6" s="7" t="s">
        <v>9</v>
      </c>
    </row>
    <row r="7" spans="1:3" x14ac:dyDescent="0.35">
      <c r="A7" s="4">
        <v>2</v>
      </c>
      <c r="B7" s="7" t="s">
        <v>10</v>
      </c>
    </row>
    <row r="8" spans="1:3" x14ac:dyDescent="0.35">
      <c r="A8" s="4">
        <v>3</v>
      </c>
      <c r="B8" s="7" t="s">
        <v>8</v>
      </c>
    </row>
    <row r="9" spans="1:3" ht="15.5" x14ac:dyDescent="0.35">
      <c r="A9" s="4"/>
      <c r="B9" s="91" t="s">
        <v>208</v>
      </c>
    </row>
    <row r="10" spans="1:3" ht="29" x14ac:dyDescent="0.35">
      <c r="A10" s="4">
        <v>4</v>
      </c>
      <c r="B10" s="7" t="s">
        <v>11</v>
      </c>
    </row>
    <row r="11" spans="1:3" x14ac:dyDescent="0.35">
      <c r="A11" s="4">
        <v>5</v>
      </c>
      <c r="B11" s="7" t="s">
        <v>18</v>
      </c>
    </row>
    <row r="12" spans="1:3" x14ac:dyDescent="0.35">
      <c r="A12" s="4">
        <v>6</v>
      </c>
      <c r="B12" s="7" t="s">
        <v>12</v>
      </c>
    </row>
    <row r="13" spans="1:3" x14ac:dyDescent="0.35">
      <c r="A13" s="4">
        <v>7</v>
      </c>
      <c r="B13" s="7" t="s">
        <v>19</v>
      </c>
    </row>
    <row r="14" spans="1:3" ht="15.5" x14ac:dyDescent="0.35">
      <c r="A14" s="4"/>
      <c r="B14" s="91" t="s">
        <v>208</v>
      </c>
    </row>
    <row r="15" spans="1:3" ht="29" x14ac:dyDescent="0.35">
      <c r="A15" s="4">
        <v>8</v>
      </c>
      <c r="B15" s="7" t="s">
        <v>22</v>
      </c>
    </row>
    <row r="16" spans="1:3" ht="15.5" x14ac:dyDescent="0.35">
      <c r="A16" s="4"/>
      <c r="B16" s="6"/>
    </row>
    <row r="17" spans="1:2" ht="29" x14ac:dyDescent="0.35">
      <c r="B17" s="74" t="s">
        <v>23</v>
      </c>
    </row>
    <row r="18" spans="1:2" ht="27.75" customHeight="1" x14ac:dyDescent="0.35">
      <c r="B18" s="75" t="s">
        <v>160</v>
      </c>
    </row>
    <row r="19" spans="1:2" ht="15.5" x14ac:dyDescent="0.35">
      <c r="A19" s="4"/>
      <c r="B19" s="91" t="s">
        <v>209</v>
      </c>
    </row>
    <row r="20" spans="1:2" x14ac:dyDescent="0.35">
      <c r="A20" s="4">
        <v>9</v>
      </c>
      <c r="B20" s="7" t="s">
        <v>157</v>
      </c>
    </row>
    <row r="21" spans="1:2" x14ac:dyDescent="0.35">
      <c r="A21" s="4">
        <v>10</v>
      </c>
      <c r="B21" s="7" t="s">
        <v>162</v>
      </c>
    </row>
    <row r="22" spans="1:2" ht="17.25" customHeight="1" x14ac:dyDescent="0.35">
      <c r="A22" s="4">
        <v>11</v>
      </c>
      <c r="B22" s="7" t="s">
        <v>24</v>
      </c>
    </row>
    <row r="23" spans="1:2" ht="29" x14ac:dyDescent="0.35">
      <c r="A23" s="4">
        <v>12</v>
      </c>
      <c r="B23" s="7" t="s">
        <v>158</v>
      </c>
    </row>
    <row r="24" spans="1:2" x14ac:dyDescent="0.35">
      <c r="A24" s="4">
        <v>13</v>
      </c>
      <c r="B24" s="7" t="s">
        <v>161</v>
      </c>
    </row>
    <row r="25" spans="1:2" x14ac:dyDescent="0.35">
      <c r="A25" s="4">
        <v>14</v>
      </c>
      <c r="B25" s="7" t="s">
        <v>25</v>
      </c>
    </row>
    <row r="26" spans="1:2" ht="15.5" x14ac:dyDescent="0.35">
      <c r="B26" s="91" t="s">
        <v>210</v>
      </c>
    </row>
    <row r="27" spans="1:2" x14ac:dyDescent="0.35">
      <c r="A27" s="4">
        <v>15</v>
      </c>
      <c r="B27" s="7" t="s">
        <v>159</v>
      </c>
    </row>
    <row r="28" spans="1:2" x14ac:dyDescent="0.35">
      <c r="A28" s="4">
        <v>16</v>
      </c>
      <c r="B28" s="7" t="s">
        <v>163</v>
      </c>
    </row>
    <row r="29" spans="1:2" ht="15.5" x14ac:dyDescent="0.35">
      <c r="A29" s="4"/>
      <c r="B29" s="91" t="s">
        <v>211</v>
      </c>
    </row>
    <row r="30" spans="1:2" x14ac:dyDescent="0.35">
      <c r="A30" s="4">
        <v>17</v>
      </c>
      <c r="B30" s="7" t="s">
        <v>150</v>
      </c>
    </row>
    <row r="31" spans="1:2" x14ac:dyDescent="0.35">
      <c r="A31" s="4">
        <v>18</v>
      </c>
      <c r="B31" s="7" t="s">
        <v>149</v>
      </c>
    </row>
    <row r="32" spans="1:2" x14ac:dyDescent="0.35">
      <c r="A32" s="4"/>
      <c r="B32" s="7"/>
    </row>
    <row r="33" spans="1:2" x14ac:dyDescent="0.35">
      <c r="A33" s="4"/>
      <c r="B33" s="7"/>
    </row>
    <row r="34" spans="1:2" x14ac:dyDescent="0.35">
      <c r="A34" s="4"/>
      <c r="B34" s="7"/>
    </row>
    <row r="35" spans="1:2" x14ac:dyDescent="0.35">
      <c r="A35" s="4"/>
      <c r="B35" s="7"/>
    </row>
    <row r="36" spans="1:2" x14ac:dyDescent="0.35">
      <c r="A36" s="4"/>
      <c r="B36" s="7"/>
    </row>
    <row r="37" spans="1:2" x14ac:dyDescent="0.35">
      <c r="A37" s="4"/>
    </row>
    <row r="38" spans="1:2" x14ac:dyDescent="0.35">
      <c r="A38" s="4"/>
    </row>
    <row r="39" spans="1:2" x14ac:dyDescent="0.35">
      <c r="A39" s="4"/>
      <c r="B39" s="8"/>
    </row>
  </sheetData>
  <pageMargins left="0.25" right="0.25" top="0.75" bottom="0.75" header="0.3" footer="0.3"/>
  <pageSetup scale="90" fitToHeight="0" orientation="landscape" r:id="rId1"/>
  <headerFooter>
    <oddFooter>&amp;C&amp;8&amp;K00-048Julie.Marcoux@dal.ca - Fun with Formulas – April 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499984740745262"/>
  </sheetPr>
  <dimension ref="B1:R101"/>
  <sheetViews>
    <sheetView tabSelected="1" workbookViewId="0">
      <selection activeCell="H18" sqref="H18"/>
    </sheetView>
  </sheetViews>
  <sheetFormatPr defaultRowHeight="14.5" x14ac:dyDescent="0.35"/>
  <cols>
    <col min="1" max="1" width="5.26953125" customWidth="1"/>
    <col min="2" max="2" width="12.7265625" customWidth="1"/>
    <col min="3" max="3" width="12.7265625" style="9" customWidth="1"/>
    <col min="4" max="6" width="12.7265625" customWidth="1"/>
    <col min="7" max="7" width="9.1796875" customWidth="1"/>
    <col min="8" max="8" width="16" customWidth="1"/>
    <col min="9" max="9" width="10.1796875" customWidth="1"/>
    <col min="10" max="10" width="12.26953125" customWidth="1"/>
    <col min="17" max="17" width="33.54296875" customWidth="1"/>
  </cols>
  <sheetData>
    <row r="1" spans="2:18" x14ac:dyDescent="0.35">
      <c r="C1" s="27" t="s">
        <v>15</v>
      </c>
      <c r="D1" s="9"/>
      <c r="E1" s="12" t="s">
        <v>14</v>
      </c>
    </row>
    <row r="2" spans="2:18" x14ac:dyDescent="0.35">
      <c r="C2" s="28">
        <v>2</v>
      </c>
      <c r="D2" s="9"/>
      <c r="E2" s="29">
        <f>1+15/100</f>
        <v>1.1499999999999999</v>
      </c>
    </row>
    <row r="3" spans="2:18" ht="15" thickBot="1" x14ac:dyDescent="0.4"/>
    <row r="4" spans="2:18" s="9" customFormat="1" ht="58.5" thickTop="1" x14ac:dyDescent="0.35">
      <c r="B4" s="13" t="s">
        <v>1</v>
      </c>
      <c r="C4" s="17" t="s">
        <v>2</v>
      </c>
      <c r="D4" s="17" t="s">
        <v>3</v>
      </c>
      <c r="E4" s="25" t="s">
        <v>4</v>
      </c>
      <c r="F4" s="18" t="s">
        <v>13</v>
      </c>
      <c r="H4" s="12" t="s">
        <v>16</v>
      </c>
      <c r="I4" s="7"/>
    </row>
    <row r="5" spans="2:18" ht="16.5" customHeight="1" x14ac:dyDescent="0.35">
      <c r="B5" s="14">
        <v>1</v>
      </c>
      <c r="C5" s="15">
        <v>7</v>
      </c>
      <c r="D5" s="22">
        <f>C5*$C$2</f>
        <v>14</v>
      </c>
      <c r="E5" s="26">
        <f>C5*$C$2*$E$2</f>
        <v>16.099999999999998</v>
      </c>
      <c r="F5" s="23">
        <f>C5*$C$2*$E$2</f>
        <v>16.099999999999998</v>
      </c>
      <c r="H5" s="28">
        <f>SUM(C5:C19)</f>
        <v>889</v>
      </c>
      <c r="I5" s="10"/>
    </row>
    <row r="6" spans="2:18" x14ac:dyDescent="0.35">
      <c r="B6" s="14">
        <v>2</v>
      </c>
      <c r="C6" s="15">
        <v>10</v>
      </c>
      <c r="D6" s="22">
        <f t="shared" ref="D6:D19" si="0">C6*$C$2</f>
        <v>20</v>
      </c>
      <c r="E6" s="26">
        <f t="shared" ref="E6:E19" si="1">C6*$C$2*$E$2</f>
        <v>23</v>
      </c>
      <c r="F6" s="23">
        <f t="shared" ref="F6:F19" si="2">C6*$C$2*$E$2</f>
        <v>23</v>
      </c>
      <c r="I6" s="10"/>
    </row>
    <row r="7" spans="2:18" x14ac:dyDescent="0.35">
      <c r="B7" s="14">
        <v>3</v>
      </c>
      <c r="C7" s="15">
        <v>21</v>
      </c>
      <c r="D7" s="22">
        <f t="shared" si="0"/>
        <v>42</v>
      </c>
      <c r="E7" s="26">
        <f t="shared" si="1"/>
        <v>48.3</v>
      </c>
      <c r="F7" s="23">
        <f t="shared" si="2"/>
        <v>48.3</v>
      </c>
      <c r="I7" s="10"/>
    </row>
    <row r="8" spans="2:18" x14ac:dyDescent="0.35">
      <c r="B8" s="14">
        <v>4</v>
      </c>
      <c r="C8" s="16">
        <v>85</v>
      </c>
      <c r="D8" s="22">
        <f t="shared" si="0"/>
        <v>170</v>
      </c>
      <c r="E8" s="26">
        <f t="shared" si="1"/>
        <v>195.49999999999997</v>
      </c>
      <c r="F8" s="23">
        <f t="shared" si="2"/>
        <v>195.49999999999997</v>
      </c>
      <c r="H8" s="11" t="s">
        <v>17</v>
      </c>
      <c r="I8" s="10"/>
    </row>
    <row r="9" spans="2:18" x14ac:dyDescent="0.35">
      <c r="B9" s="14">
        <v>5</v>
      </c>
      <c r="C9" s="16">
        <v>42</v>
      </c>
      <c r="D9" s="22">
        <f t="shared" si="0"/>
        <v>84</v>
      </c>
      <c r="E9" s="26">
        <f t="shared" si="1"/>
        <v>96.6</v>
      </c>
      <c r="F9" s="23">
        <f t="shared" si="2"/>
        <v>96.6</v>
      </c>
      <c r="H9" s="30">
        <f>SUM(D5:F19)</f>
        <v>5867.4000000000005</v>
      </c>
      <c r="I9" s="10"/>
    </row>
    <row r="10" spans="2:18" x14ac:dyDescent="0.35">
      <c r="B10" s="14">
        <v>6</v>
      </c>
      <c r="C10" s="16">
        <v>91</v>
      </c>
      <c r="D10" s="22">
        <f t="shared" si="0"/>
        <v>182</v>
      </c>
      <c r="E10" s="26">
        <f t="shared" si="1"/>
        <v>209.29999999999998</v>
      </c>
      <c r="F10" s="23">
        <f t="shared" si="2"/>
        <v>209.29999999999998</v>
      </c>
      <c r="I10" s="10"/>
    </row>
    <row r="11" spans="2:18" x14ac:dyDescent="0.35">
      <c r="B11" s="14">
        <v>7</v>
      </c>
      <c r="C11" s="16">
        <v>83</v>
      </c>
      <c r="D11" s="22">
        <f>C11*$C$2</f>
        <v>166</v>
      </c>
      <c r="E11" s="26">
        <f t="shared" si="1"/>
        <v>190.89999999999998</v>
      </c>
      <c r="F11" s="23">
        <f t="shared" si="2"/>
        <v>190.89999999999998</v>
      </c>
      <c r="I11" s="10"/>
    </row>
    <row r="12" spans="2:18" x14ac:dyDescent="0.35">
      <c r="B12" s="14">
        <v>8</v>
      </c>
      <c r="C12" s="16">
        <v>67</v>
      </c>
      <c r="D12" s="22">
        <f t="shared" si="0"/>
        <v>134</v>
      </c>
      <c r="E12" s="26">
        <f t="shared" si="1"/>
        <v>154.1</v>
      </c>
      <c r="F12" s="23">
        <f t="shared" si="2"/>
        <v>154.1</v>
      </c>
      <c r="H12" s="11" t="s">
        <v>20</v>
      </c>
      <c r="I12" s="10"/>
      <c r="R12" s="1"/>
    </row>
    <row r="13" spans="2:18" x14ac:dyDescent="0.35">
      <c r="B13" s="14">
        <v>9</v>
      </c>
      <c r="C13" s="16">
        <v>74</v>
      </c>
      <c r="D13" s="22">
        <f t="shared" si="0"/>
        <v>148</v>
      </c>
      <c r="E13" s="26">
        <f>C13*$C$2*$E$2</f>
        <v>170.2</v>
      </c>
      <c r="F13" s="23">
        <f t="shared" si="2"/>
        <v>170.2</v>
      </c>
      <c r="H13" s="76">
        <f>AVERAGE(C5:C19,B19)</f>
        <v>56.5</v>
      </c>
      <c r="I13" s="10"/>
      <c r="R13" s="1"/>
    </row>
    <row r="14" spans="2:18" x14ac:dyDescent="0.35">
      <c r="B14" s="14">
        <v>10</v>
      </c>
      <c r="C14" s="16">
        <v>75</v>
      </c>
      <c r="D14" s="22">
        <f t="shared" si="0"/>
        <v>150</v>
      </c>
      <c r="E14" s="26">
        <f t="shared" si="1"/>
        <v>172.5</v>
      </c>
      <c r="F14" s="23">
        <f t="shared" si="2"/>
        <v>172.5</v>
      </c>
      <c r="G14" s="1"/>
      <c r="I14" s="10"/>
    </row>
    <row r="15" spans="2:18" x14ac:dyDescent="0.35">
      <c r="B15" s="14">
        <v>11</v>
      </c>
      <c r="C15" s="16">
        <v>92</v>
      </c>
      <c r="D15" s="22">
        <f t="shared" si="0"/>
        <v>184</v>
      </c>
      <c r="E15" s="26">
        <f t="shared" si="1"/>
        <v>211.6</v>
      </c>
      <c r="F15" s="23">
        <f t="shared" si="2"/>
        <v>211.6</v>
      </c>
      <c r="G15" s="1"/>
      <c r="I15" s="10"/>
    </row>
    <row r="16" spans="2:18" x14ac:dyDescent="0.35">
      <c r="B16" s="14">
        <v>12</v>
      </c>
      <c r="C16" s="16">
        <v>45</v>
      </c>
      <c r="D16" s="22">
        <f t="shared" si="0"/>
        <v>90</v>
      </c>
      <c r="E16" s="26">
        <f t="shared" si="1"/>
        <v>103.49999999999999</v>
      </c>
      <c r="F16" s="23">
        <f t="shared" si="2"/>
        <v>103.49999999999999</v>
      </c>
      <c r="G16" s="1"/>
      <c r="H16" s="11" t="s">
        <v>21</v>
      </c>
      <c r="I16" s="10"/>
    </row>
    <row r="17" spans="2:9" x14ac:dyDescent="0.35">
      <c r="B17" s="14">
        <v>13</v>
      </c>
      <c r="C17" s="16">
        <v>72</v>
      </c>
      <c r="D17" s="22">
        <f t="shared" si="0"/>
        <v>144</v>
      </c>
      <c r="E17" s="26">
        <f t="shared" si="1"/>
        <v>165.6</v>
      </c>
      <c r="F17" s="23">
        <f t="shared" si="2"/>
        <v>165.6</v>
      </c>
      <c r="G17" s="1"/>
      <c r="H17" s="31">
        <f>MAX(D5:F19)</f>
        <v>211.6</v>
      </c>
      <c r="I17" s="10"/>
    </row>
    <row r="18" spans="2:9" x14ac:dyDescent="0.35">
      <c r="B18" s="14">
        <v>14</v>
      </c>
      <c r="C18" s="16">
        <v>41</v>
      </c>
      <c r="D18" s="22">
        <f t="shared" si="0"/>
        <v>82</v>
      </c>
      <c r="E18" s="26">
        <f t="shared" si="1"/>
        <v>94.3</v>
      </c>
      <c r="F18" s="23">
        <f>C18*$C$2*$E$2</f>
        <v>94.3</v>
      </c>
      <c r="G18" s="1"/>
      <c r="I18" s="10"/>
    </row>
    <row r="19" spans="2:9" x14ac:dyDescent="0.35">
      <c r="B19" s="19">
        <v>15</v>
      </c>
      <c r="C19" s="20">
        <v>84</v>
      </c>
      <c r="D19" s="22">
        <f t="shared" si="0"/>
        <v>168</v>
      </c>
      <c r="E19" s="26">
        <f t="shared" si="1"/>
        <v>193.2</v>
      </c>
      <c r="F19" s="23">
        <f t="shared" si="2"/>
        <v>193.2</v>
      </c>
      <c r="G19" s="1"/>
      <c r="I19" s="10"/>
    </row>
    <row r="20" spans="2:9" ht="15" thickBot="1" x14ac:dyDescent="0.4">
      <c r="B20" s="21" t="s">
        <v>7</v>
      </c>
      <c r="C20" s="24">
        <f>SUM(C5:C19)</f>
        <v>889</v>
      </c>
      <c r="D20" s="24">
        <f t="shared" ref="D20:F20" si="3">SUM(D5:D19)</f>
        <v>1778</v>
      </c>
      <c r="E20" s="24">
        <f t="shared" si="3"/>
        <v>2044.6999999999998</v>
      </c>
      <c r="F20" s="24">
        <f t="shared" si="3"/>
        <v>2044.6999999999998</v>
      </c>
      <c r="G20" s="1"/>
      <c r="I20" s="10"/>
    </row>
    <row r="21" spans="2:9" ht="15" thickTop="1" x14ac:dyDescent="0.35">
      <c r="B21" s="11"/>
      <c r="C21" s="12"/>
      <c r="G21" s="1"/>
      <c r="I21" s="10"/>
    </row>
    <row r="22" spans="2:9" x14ac:dyDescent="0.35">
      <c r="I22" s="10"/>
    </row>
    <row r="23" spans="2:9" x14ac:dyDescent="0.35">
      <c r="I23" s="10"/>
    </row>
    <row r="24" spans="2:9" x14ac:dyDescent="0.35">
      <c r="I24" s="10"/>
    </row>
    <row r="25" spans="2:9" x14ac:dyDescent="0.35">
      <c r="I25" s="10"/>
    </row>
    <row r="26" spans="2:9" x14ac:dyDescent="0.35">
      <c r="I26" s="10"/>
    </row>
    <row r="27" spans="2:9" x14ac:dyDescent="0.35">
      <c r="I27" s="10"/>
    </row>
    <row r="28" spans="2:9" x14ac:dyDescent="0.35">
      <c r="I28" s="10"/>
    </row>
    <row r="29" spans="2:9" x14ac:dyDescent="0.35">
      <c r="I29" s="10"/>
    </row>
    <row r="30" spans="2:9" x14ac:dyDescent="0.35">
      <c r="G30" s="1"/>
      <c r="I30" s="10"/>
    </row>
    <row r="31" spans="2:9" x14ac:dyDescent="0.35">
      <c r="G31" s="1"/>
      <c r="I31" s="10"/>
    </row>
    <row r="32" spans="2:9" x14ac:dyDescent="0.35">
      <c r="G32" s="1"/>
      <c r="I32" s="10"/>
    </row>
    <row r="33" spans="7:9" x14ac:dyDescent="0.35">
      <c r="G33" s="1"/>
      <c r="I33" s="10"/>
    </row>
    <row r="34" spans="7:9" x14ac:dyDescent="0.35">
      <c r="G34" s="1"/>
      <c r="I34" s="10"/>
    </row>
    <row r="35" spans="7:9" x14ac:dyDescent="0.35">
      <c r="G35" s="1"/>
      <c r="I35" s="10"/>
    </row>
    <row r="36" spans="7:9" x14ac:dyDescent="0.35">
      <c r="G36" s="1"/>
      <c r="I36" s="10"/>
    </row>
    <row r="37" spans="7:9" x14ac:dyDescent="0.35">
      <c r="G37" s="1"/>
      <c r="I37" s="10"/>
    </row>
    <row r="38" spans="7:9" x14ac:dyDescent="0.35">
      <c r="G38" s="1"/>
      <c r="I38" s="10"/>
    </row>
    <row r="39" spans="7:9" x14ac:dyDescent="0.35">
      <c r="G39" s="1"/>
      <c r="I39" s="10"/>
    </row>
    <row r="40" spans="7:9" x14ac:dyDescent="0.35">
      <c r="G40" s="1"/>
      <c r="I40" s="10"/>
    </row>
    <row r="41" spans="7:9" x14ac:dyDescent="0.35">
      <c r="G41" s="1"/>
      <c r="I41" s="10"/>
    </row>
    <row r="42" spans="7:9" x14ac:dyDescent="0.35">
      <c r="G42" s="1"/>
      <c r="I42" s="10"/>
    </row>
    <row r="43" spans="7:9" x14ac:dyDescent="0.35">
      <c r="G43" s="1"/>
      <c r="I43" s="10"/>
    </row>
    <row r="44" spans="7:9" x14ac:dyDescent="0.35">
      <c r="G44" s="1"/>
      <c r="I44" s="10"/>
    </row>
    <row r="45" spans="7:9" x14ac:dyDescent="0.35">
      <c r="G45" s="1"/>
      <c r="I45" s="10"/>
    </row>
    <row r="46" spans="7:9" x14ac:dyDescent="0.35">
      <c r="G46" s="1"/>
      <c r="I46" s="10"/>
    </row>
    <row r="47" spans="7:9" x14ac:dyDescent="0.35">
      <c r="G47" s="1"/>
      <c r="I47" s="10"/>
    </row>
    <row r="48" spans="7:9" x14ac:dyDescent="0.35">
      <c r="G48" s="1"/>
      <c r="I48" s="10"/>
    </row>
    <row r="49" spans="7:9" x14ac:dyDescent="0.35">
      <c r="G49" s="1"/>
      <c r="I49" s="10"/>
    </row>
    <row r="50" spans="7:9" x14ac:dyDescent="0.35">
      <c r="G50" s="1"/>
      <c r="I50" s="10"/>
    </row>
    <row r="51" spans="7:9" x14ac:dyDescent="0.35">
      <c r="G51" s="1"/>
      <c r="I51" s="10"/>
    </row>
    <row r="52" spans="7:9" x14ac:dyDescent="0.35">
      <c r="G52" s="1"/>
      <c r="I52" s="10"/>
    </row>
    <row r="53" spans="7:9" x14ac:dyDescent="0.35">
      <c r="G53" s="1"/>
      <c r="I53" s="10"/>
    </row>
    <row r="54" spans="7:9" x14ac:dyDescent="0.35">
      <c r="G54" s="1"/>
      <c r="I54" s="10"/>
    </row>
    <row r="55" spans="7:9" x14ac:dyDescent="0.35">
      <c r="G55" s="1"/>
      <c r="I55" s="10"/>
    </row>
    <row r="56" spans="7:9" x14ac:dyDescent="0.35">
      <c r="G56" s="1"/>
      <c r="I56" s="10"/>
    </row>
    <row r="57" spans="7:9" x14ac:dyDescent="0.35">
      <c r="G57" s="1"/>
      <c r="I57" s="10"/>
    </row>
    <row r="58" spans="7:9" x14ac:dyDescent="0.35">
      <c r="G58" s="1"/>
      <c r="I58" s="10"/>
    </row>
    <row r="59" spans="7:9" x14ac:dyDescent="0.35">
      <c r="G59" s="1"/>
      <c r="I59" s="10"/>
    </row>
    <row r="60" spans="7:9" x14ac:dyDescent="0.35">
      <c r="G60" s="1"/>
      <c r="I60" s="10"/>
    </row>
    <row r="61" spans="7:9" x14ac:dyDescent="0.35">
      <c r="G61" s="1"/>
      <c r="I61" s="10"/>
    </row>
    <row r="62" spans="7:9" x14ac:dyDescent="0.35">
      <c r="G62" s="1"/>
      <c r="I62" s="10"/>
    </row>
    <row r="63" spans="7:9" x14ac:dyDescent="0.35">
      <c r="G63" s="1"/>
      <c r="I63" s="10"/>
    </row>
    <row r="64" spans="7:9" x14ac:dyDescent="0.35">
      <c r="G64" s="1"/>
      <c r="I64" s="10"/>
    </row>
    <row r="65" spans="7:7" x14ac:dyDescent="0.35">
      <c r="G65" s="1"/>
    </row>
    <row r="66" spans="7:7" x14ac:dyDescent="0.35">
      <c r="G66" s="1"/>
    </row>
    <row r="67" spans="7:7" x14ac:dyDescent="0.35">
      <c r="G67" s="1"/>
    </row>
    <row r="68" spans="7:7" x14ac:dyDescent="0.35">
      <c r="G68" s="1"/>
    </row>
    <row r="69" spans="7:7" x14ac:dyDescent="0.35">
      <c r="G69" s="1"/>
    </row>
    <row r="70" spans="7:7" x14ac:dyDescent="0.35">
      <c r="G70" s="1"/>
    </row>
    <row r="71" spans="7:7" x14ac:dyDescent="0.35">
      <c r="G71" s="1"/>
    </row>
    <row r="72" spans="7:7" x14ac:dyDescent="0.35">
      <c r="G72" s="1"/>
    </row>
    <row r="73" spans="7:7" x14ac:dyDescent="0.35">
      <c r="G73" s="1"/>
    </row>
    <row r="74" spans="7:7" x14ac:dyDescent="0.35">
      <c r="G74" s="1"/>
    </row>
    <row r="75" spans="7:7" x14ac:dyDescent="0.35">
      <c r="G75" s="1"/>
    </row>
    <row r="76" spans="7:7" x14ac:dyDescent="0.35">
      <c r="G76" s="1"/>
    </row>
    <row r="77" spans="7:7" x14ac:dyDescent="0.35">
      <c r="G77" s="1"/>
    </row>
    <row r="78" spans="7:7" x14ac:dyDescent="0.35">
      <c r="G78" s="1"/>
    </row>
    <row r="79" spans="7:7" x14ac:dyDescent="0.35">
      <c r="G79" s="1"/>
    </row>
    <row r="80" spans="7:7" x14ac:dyDescent="0.35">
      <c r="G80" s="1"/>
    </row>
    <row r="81" spans="7:7" x14ac:dyDescent="0.35">
      <c r="G81" s="1"/>
    </row>
    <row r="82" spans="7:7" x14ac:dyDescent="0.35">
      <c r="G82" s="1"/>
    </row>
    <row r="83" spans="7:7" x14ac:dyDescent="0.35">
      <c r="G83" s="1"/>
    </row>
    <row r="84" spans="7:7" x14ac:dyDescent="0.35">
      <c r="G84" s="1"/>
    </row>
    <row r="85" spans="7:7" x14ac:dyDescent="0.35">
      <c r="G85" s="1"/>
    </row>
    <row r="86" spans="7:7" x14ac:dyDescent="0.35">
      <c r="G86" s="1"/>
    </row>
    <row r="87" spans="7:7" x14ac:dyDescent="0.35">
      <c r="G87" s="1"/>
    </row>
    <row r="88" spans="7:7" x14ac:dyDescent="0.35">
      <c r="G88" s="1"/>
    </row>
    <row r="89" spans="7:7" x14ac:dyDescent="0.35">
      <c r="G89" s="1"/>
    </row>
    <row r="90" spans="7:7" x14ac:dyDescent="0.35">
      <c r="G90" s="1"/>
    </row>
    <row r="91" spans="7:7" x14ac:dyDescent="0.35">
      <c r="G91" s="1"/>
    </row>
    <row r="92" spans="7:7" x14ac:dyDescent="0.35">
      <c r="G92" s="1"/>
    </row>
    <row r="93" spans="7:7" x14ac:dyDescent="0.35">
      <c r="G93" s="1"/>
    </row>
    <row r="94" spans="7:7" x14ac:dyDescent="0.35">
      <c r="G94" s="1"/>
    </row>
    <row r="95" spans="7:7" x14ac:dyDescent="0.35">
      <c r="G95" s="1"/>
    </row>
    <row r="96" spans="7:7" x14ac:dyDescent="0.35">
      <c r="G96" s="1"/>
    </row>
    <row r="97" spans="7:7" x14ac:dyDescent="0.35">
      <c r="G97" s="1"/>
    </row>
    <row r="98" spans="7:7" x14ac:dyDescent="0.35">
      <c r="G98" s="1"/>
    </row>
    <row r="99" spans="7:7" x14ac:dyDescent="0.35">
      <c r="G99" s="1"/>
    </row>
    <row r="100" spans="7:7" x14ac:dyDescent="0.35">
      <c r="G100" s="1"/>
    </row>
    <row r="101" spans="7:7" x14ac:dyDescent="0.35">
      <c r="G101" s="1"/>
    </row>
  </sheetData>
  <sortState xmlns:xlrd2="http://schemas.microsoft.com/office/spreadsheetml/2017/richdata2" ref="B2:H64">
    <sortCondition ref="B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31444"/>
    <pageSetUpPr fitToPage="1"/>
  </sheetPr>
  <dimension ref="A1:D150"/>
  <sheetViews>
    <sheetView workbookViewId="0"/>
  </sheetViews>
  <sheetFormatPr defaultRowHeight="15.5" x14ac:dyDescent="0.35"/>
  <cols>
    <col min="1" max="1" width="37" style="47" customWidth="1"/>
    <col min="2" max="2" width="13.1796875" style="40" customWidth="1"/>
    <col min="3" max="3" width="156.54296875" style="55" customWidth="1"/>
  </cols>
  <sheetData>
    <row r="1" spans="1:4" s="33" customFormat="1" x14ac:dyDescent="0.35">
      <c r="A1" s="48"/>
      <c r="B1" s="37"/>
      <c r="C1" s="56"/>
    </row>
    <row r="2" spans="1:4" ht="31" x14ac:dyDescent="0.7">
      <c r="A2"/>
      <c r="B2" s="35"/>
      <c r="C2" s="73" t="s">
        <v>26</v>
      </c>
      <c r="D2" s="36"/>
    </row>
    <row r="3" spans="1:4" s="32" customFormat="1" ht="23.5" x14ac:dyDescent="0.55000000000000004">
      <c r="A3" s="49"/>
      <c r="B3" s="41"/>
      <c r="C3" s="51" t="s">
        <v>46</v>
      </c>
    </row>
    <row r="4" spans="1:4" x14ac:dyDescent="0.35">
      <c r="C4" s="57"/>
    </row>
    <row r="5" spans="1:4" x14ac:dyDescent="0.35">
      <c r="A5" s="50" t="s">
        <v>27</v>
      </c>
      <c r="B5" s="42" t="s">
        <v>28</v>
      </c>
      <c r="C5" s="52" t="s">
        <v>40</v>
      </c>
    </row>
    <row r="6" spans="1:4" x14ac:dyDescent="0.35">
      <c r="A6" s="46" t="s">
        <v>39</v>
      </c>
      <c r="B6" s="43">
        <f>2+3</f>
        <v>5</v>
      </c>
      <c r="C6" s="52" t="s">
        <v>29</v>
      </c>
    </row>
    <row r="7" spans="1:4" x14ac:dyDescent="0.35">
      <c r="C7" s="52"/>
    </row>
    <row r="8" spans="1:4" x14ac:dyDescent="0.35">
      <c r="C8" s="52" t="s">
        <v>30</v>
      </c>
    </row>
    <row r="9" spans="1:4" x14ac:dyDescent="0.35">
      <c r="C9" s="52" t="s">
        <v>31</v>
      </c>
    </row>
    <row r="10" spans="1:4" x14ac:dyDescent="0.35">
      <c r="A10" s="34" t="s">
        <v>34</v>
      </c>
      <c r="B10" s="40">
        <f>SUM(2,2,1)</f>
        <v>5</v>
      </c>
      <c r="C10" s="52" t="s">
        <v>47</v>
      </c>
    </row>
    <row r="11" spans="1:4" x14ac:dyDescent="0.35">
      <c r="A11" s="34"/>
      <c r="C11" s="52" t="s">
        <v>43</v>
      </c>
    </row>
    <row r="12" spans="1:4" x14ac:dyDescent="0.35">
      <c r="A12" s="46"/>
      <c r="C12" s="52" t="s">
        <v>44</v>
      </c>
    </row>
    <row r="13" spans="1:4" ht="23.5" x14ac:dyDescent="0.55000000000000004">
      <c r="C13" s="59"/>
    </row>
    <row r="14" spans="1:4" ht="23.5" x14ac:dyDescent="0.55000000000000004">
      <c r="B14" s="44"/>
      <c r="C14" s="59" t="s">
        <v>32</v>
      </c>
    </row>
    <row r="15" spans="1:4" x14ac:dyDescent="0.35">
      <c r="B15" s="44">
        <v>1</v>
      </c>
      <c r="C15" s="53"/>
    </row>
    <row r="16" spans="1:4" x14ac:dyDescent="0.35">
      <c r="B16" s="44">
        <v>2</v>
      </c>
      <c r="C16" s="52" t="s">
        <v>45</v>
      </c>
    </row>
    <row r="17" spans="1:3" x14ac:dyDescent="0.35">
      <c r="B17" s="44">
        <v>3</v>
      </c>
      <c r="C17" s="52" t="s">
        <v>35</v>
      </c>
    </row>
    <row r="18" spans="1:3" x14ac:dyDescent="0.35">
      <c r="A18" s="50"/>
      <c r="C18" s="52" t="s">
        <v>36</v>
      </c>
    </row>
    <row r="19" spans="1:3" x14ac:dyDescent="0.35">
      <c r="A19" s="50" t="s">
        <v>27</v>
      </c>
      <c r="B19" s="42" t="s">
        <v>28</v>
      </c>
      <c r="C19" s="54"/>
    </row>
    <row r="20" spans="1:3" x14ac:dyDescent="0.35">
      <c r="A20" s="34" t="s">
        <v>52</v>
      </c>
      <c r="B20" s="40">
        <f>SUM(2,3)</f>
        <v>5</v>
      </c>
      <c r="C20" s="54"/>
    </row>
    <row r="21" spans="1:3" x14ac:dyDescent="0.35">
      <c r="A21" s="34" t="s">
        <v>53</v>
      </c>
      <c r="B21" s="40">
        <f>SUM(2,3,1)</f>
        <v>6</v>
      </c>
      <c r="C21" s="54" t="s">
        <v>37</v>
      </c>
    </row>
    <row r="22" spans="1:3" x14ac:dyDescent="0.35">
      <c r="A22" s="34" t="s">
        <v>54</v>
      </c>
      <c r="B22" s="40" t="e">
        <f>SUM(2,3,"cat")</f>
        <v>#VALUE!</v>
      </c>
      <c r="C22" s="54" t="s">
        <v>38</v>
      </c>
    </row>
    <row r="23" spans="1:3" ht="31" x14ac:dyDescent="0.35">
      <c r="A23" s="34" t="s">
        <v>55</v>
      </c>
      <c r="B23" s="40">
        <f>SUM(2,B15)</f>
        <v>3</v>
      </c>
      <c r="C23" s="54" t="s">
        <v>122</v>
      </c>
    </row>
    <row r="24" spans="1:3" ht="39.75" customHeight="1" x14ac:dyDescent="0.35">
      <c r="A24" s="34" t="s">
        <v>56</v>
      </c>
      <c r="B24" s="40">
        <f>SUM(2,B15:B17)</f>
        <v>8</v>
      </c>
      <c r="C24" s="54" t="s">
        <v>42</v>
      </c>
    </row>
    <row r="25" spans="1:3" x14ac:dyDescent="0.35">
      <c r="C25" s="54" t="s">
        <v>41</v>
      </c>
    </row>
    <row r="26" spans="1:3" x14ac:dyDescent="0.35">
      <c r="C26" s="54"/>
    </row>
    <row r="27" spans="1:3" x14ac:dyDescent="0.35">
      <c r="A27" s="50" t="s">
        <v>27</v>
      </c>
      <c r="B27" s="42" t="s">
        <v>28</v>
      </c>
      <c r="C27" s="54"/>
    </row>
    <row r="28" spans="1:3" ht="46.5" x14ac:dyDescent="0.35">
      <c r="A28" s="46" t="s">
        <v>57</v>
      </c>
      <c r="B28" s="40" t="str">
        <f>LEFT("Excel is fun")</f>
        <v>E</v>
      </c>
      <c r="C28" s="54" t="s">
        <v>48</v>
      </c>
    </row>
    <row r="29" spans="1:3" x14ac:dyDescent="0.35">
      <c r="A29" s="46" t="s">
        <v>58</v>
      </c>
      <c r="B29" s="40" t="str">
        <f>LEFT("Excel is fun",5)</f>
        <v>Excel</v>
      </c>
      <c r="C29" s="55" t="s">
        <v>49</v>
      </c>
    </row>
    <row r="30" spans="1:3" x14ac:dyDescent="0.35">
      <c r="A30" s="46" t="s">
        <v>59</v>
      </c>
      <c r="B30" s="40" t="str">
        <f>LEFT("Excel is fun",2+3)</f>
        <v>Excel</v>
      </c>
      <c r="C30" s="55" t="s">
        <v>50</v>
      </c>
    </row>
    <row r="31" spans="1:3" ht="46.5" x14ac:dyDescent="0.35">
      <c r="A31" s="46" t="s">
        <v>60</v>
      </c>
      <c r="B31" s="40" t="str">
        <f>LEFT("Excel is fun",SUM(2,3))</f>
        <v>Excel</v>
      </c>
      <c r="C31" s="55" t="s">
        <v>51</v>
      </c>
    </row>
    <row r="32" spans="1:3" ht="46.5" x14ac:dyDescent="0.35">
      <c r="A32" s="46" t="s">
        <v>61</v>
      </c>
      <c r="B32" s="40" t="str">
        <f>LEFT("Wow"&amp;A27,SUM(B14:B17)+1)</f>
        <v>WowForm</v>
      </c>
      <c r="C32" s="55" t="s">
        <v>62</v>
      </c>
    </row>
    <row r="34" spans="1:3" ht="23.5" x14ac:dyDescent="0.55000000000000004">
      <c r="C34" s="59"/>
    </row>
    <row r="35" spans="1:3" s="32" customFormat="1" ht="23.5" x14ac:dyDescent="0.55000000000000004">
      <c r="A35" s="49"/>
      <c r="B35" s="72"/>
      <c r="C35" s="51" t="s">
        <v>73</v>
      </c>
    </row>
    <row r="36" spans="1:3" x14ac:dyDescent="0.35">
      <c r="C36" s="61"/>
    </row>
    <row r="37" spans="1:3" ht="46.5" x14ac:dyDescent="0.35">
      <c r="B37" s="47" t="s">
        <v>68</v>
      </c>
      <c r="C37" s="63" t="s">
        <v>72</v>
      </c>
    </row>
    <row r="38" spans="1:3" s="9" customFormat="1" ht="20.25" customHeight="1" x14ac:dyDescent="0.35">
      <c r="A38" s="65"/>
      <c r="B38" s="65"/>
      <c r="C38" s="63" t="s">
        <v>67</v>
      </c>
    </row>
    <row r="39" spans="1:3" x14ac:dyDescent="0.35">
      <c r="B39" s="64"/>
    </row>
    <row r="40" spans="1:3" x14ac:dyDescent="0.35">
      <c r="B40" s="64"/>
    </row>
    <row r="41" spans="1:3" x14ac:dyDescent="0.35">
      <c r="B41" s="64"/>
    </row>
    <row r="42" spans="1:3" x14ac:dyDescent="0.35">
      <c r="B42" s="64"/>
    </row>
    <row r="43" spans="1:3" x14ac:dyDescent="0.35">
      <c r="B43" s="64"/>
    </row>
    <row r="44" spans="1:3" x14ac:dyDescent="0.35">
      <c r="B44" s="64"/>
    </row>
    <row r="45" spans="1:3" x14ac:dyDescent="0.35">
      <c r="B45" s="64"/>
    </row>
    <row r="46" spans="1:3" x14ac:dyDescent="0.35">
      <c r="B46" s="64"/>
    </row>
    <row r="47" spans="1:3" ht="31" x14ac:dyDescent="0.35">
      <c r="A47" s="99" t="s">
        <v>66</v>
      </c>
      <c r="B47" s="100"/>
      <c r="C47" s="55" t="s">
        <v>69</v>
      </c>
    </row>
    <row r="48" spans="1:3" ht="31" x14ac:dyDescent="0.35">
      <c r="A48" s="99" t="s">
        <v>70</v>
      </c>
      <c r="B48" s="100"/>
      <c r="C48" s="55" t="s">
        <v>71</v>
      </c>
    </row>
    <row r="60" spans="1:3" ht="23.5" x14ac:dyDescent="0.55000000000000004">
      <c r="C60" s="59"/>
    </row>
    <row r="61" spans="1:3" s="32" customFormat="1" ht="23.5" x14ac:dyDescent="0.55000000000000004">
      <c r="A61" s="49"/>
      <c r="B61" s="72"/>
      <c r="C61" s="51" t="s">
        <v>75</v>
      </c>
    </row>
    <row r="62" spans="1:3" x14ac:dyDescent="0.35">
      <c r="B62" s="47"/>
      <c r="C62" s="62"/>
    </row>
    <row r="63" spans="1:3" x14ac:dyDescent="0.35">
      <c r="B63" s="47" t="s">
        <v>77</v>
      </c>
      <c r="C63" s="55" t="s">
        <v>78</v>
      </c>
    </row>
    <row r="64" spans="1:3" x14ac:dyDescent="0.35">
      <c r="B64" s="47"/>
    </row>
    <row r="65" spans="2:3" x14ac:dyDescent="0.35">
      <c r="B65" s="47"/>
    </row>
    <row r="66" spans="2:3" x14ac:dyDescent="0.35">
      <c r="B66" s="47"/>
    </row>
    <row r="67" spans="2:3" x14ac:dyDescent="0.35">
      <c r="B67" s="47"/>
    </row>
    <row r="68" spans="2:3" x14ac:dyDescent="0.35">
      <c r="B68" s="47"/>
    </row>
    <row r="69" spans="2:3" x14ac:dyDescent="0.35">
      <c r="B69" s="47"/>
    </row>
    <row r="70" spans="2:3" x14ac:dyDescent="0.35">
      <c r="B70" s="47"/>
    </row>
    <row r="71" spans="2:3" ht="31" x14ac:dyDescent="0.35">
      <c r="B71" s="47" t="s">
        <v>79</v>
      </c>
      <c r="C71" s="55" t="s">
        <v>80</v>
      </c>
    </row>
    <row r="78" spans="2:3" ht="31" x14ac:dyDescent="0.35">
      <c r="B78" s="47" t="s">
        <v>79</v>
      </c>
      <c r="C78" s="55" t="s">
        <v>81</v>
      </c>
    </row>
    <row r="82" spans="1:3" x14ac:dyDescent="0.35">
      <c r="A82" s="66"/>
    </row>
    <row r="83" spans="1:3" ht="31" x14ac:dyDescent="0.35">
      <c r="B83" s="47" t="s">
        <v>82</v>
      </c>
      <c r="C83" s="55" t="s">
        <v>85</v>
      </c>
    </row>
    <row r="84" spans="1:3" x14ac:dyDescent="0.35">
      <c r="B84" s="40" t="s">
        <v>83</v>
      </c>
    </row>
    <row r="85" spans="1:3" x14ac:dyDescent="0.35">
      <c r="B85" s="47" t="s">
        <v>84</v>
      </c>
    </row>
    <row r="90" spans="1:3" ht="9.75" customHeight="1" x14ac:dyDescent="0.55000000000000004">
      <c r="C90" s="59"/>
    </row>
    <row r="91" spans="1:3" s="32" customFormat="1" ht="23.5" x14ac:dyDescent="0.55000000000000004">
      <c r="A91" s="49"/>
      <c r="B91" s="72"/>
      <c r="C91" s="51" t="s">
        <v>86</v>
      </c>
    </row>
    <row r="92" spans="1:3" x14ac:dyDescent="0.35">
      <c r="B92" s="47"/>
      <c r="C92" s="62"/>
    </row>
    <row r="93" spans="1:3" ht="31" x14ac:dyDescent="0.35">
      <c r="B93" s="50" t="s">
        <v>99</v>
      </c>
      <c r="C93" s="55" t="s">
        <v>94</v>
      </c>
    </row>
    <row r="94" spans="1:3" x14ac:dyDescent="0.35">
      <c r="A94" s="47">
        <v>1</v>
      </c>
      <c r="B94" s="67" t="s">
        <v>90</v>
      </c>
      <c r="C94" s="53" t="s">
        <v>93</v>
      </c>
    </row>
    <row r="95" spans="1:3" x14ac:dyDescent="0.35">
      <c r="A95" s="47">
        <v>2</v>
      </c>
      <c r="B95" s="67" t="s">
        <v>91</v>
      </c>
      <c r="C95" s="62"/>
    </row>
    <row r="96" spans="1:3" x14ac:dyDescent="0.35">
      <c r="A96" s="47">
        <v>3</v>
      </c>
      <c r="B96" s="67" t="s">
        <v>92</v>
      </c>
      <c r="C96" s="62"/>
    </row>
    <row r="97" spans="2:3" x14ac:dyDescent="0.35">
      <c r="B97" s="46"/>
      <c r="C97" s="62"/>
    </row>
    <row r="98" spans="2:3" x14ac:dyDescent="0.35">
      <c r="B98" s="47" t="s">
        <v>88</v>
      </c>
      <c r="C98" s="55" t="s">
        <v>89</v>
      </c>
    </row>
    <row r="99" spans="2:3" x14ac:dyDescent="0.35">
      <c r="B99" s="47" t="s">
        <v>96</v>
      </c>
      <c r="C99" s="55" t="s">
        <v>95</v>
      </c>
    </row>
    <row r="100" spans="2:3" x14ac:dyDescent="0.35">
      <c r="B100" s="47"/>
    </row>
    <row r="105" spans="2:3" x14ac:dyDescent="0.35">
      <c r="B105" s="47" t="s">
        <v>97</v>
      </c>
      <c r="C105" s="55" t="s">
        <v>100</v>
      </c>
    </row>
    <row r="106" spans="2:3" x14ac:dyDescent="0.35">
      <c r="B106" s="47" t="s">
        <v>98</v>
      </c>
      <c r="C106" s="55" t="s">
        <v>101</v>
      </c>
    </row>
    <row r="107" spans="2:3" x14ac:dyDescent="0.35">
      <c r="B107" s="47"/>
    </row>
    <row r="109" spans="2:3" ht="31" x14ac:dyDescent="0.35">
      <c r="B109" s="50" t="s">
        <v>102</v>
      </c>
      <c r="C109" s="55" t="s">
        <v>103</v>
      </c>
    </row>
    <row r="121" spans="1:3" ht="16.5" customHeight="1" x14ac:dyDescent="0.55000000000000004">
      <c r="C121" s="59"/>
    </row>
    <row r="122" spans="1:3" s="32" customFormat="1" ht="23.5" x14ac:dyDescent="0.55000000000000004">
      <c r="A122" s="49"/>
      <c r="B122" s="72"/>
      <c r="C122" s="51" t="s">
        <v>104</v>
      </c>
    </row>
    <row r="123" spans="1:3" x14ac:dyDescent="0.35">
      <c r="C123" s="62"/>
    </row>
    <row r="124" spans="1:3" ht="31" x14ac:dyDescent="0.35">
      <c r="B124" s="68" t="s">
        <v>106</v>
      </c>
      <c r="C124" s="53" t="s">
        <v>113</v>
      </c>
    </row>
    <row r="125" spans="1:3" ht="31" x14ac:dyDescent="0.35">
      <c r="B125" s="71">
        <v>1</v>
      </c>
      <c r="C125" s="61" t="s">
        <v>121</v>
      </c>
    </row>
    <row r="126" spans="1:3" ht="20.25" customHeight="1" x14ac:dyDescent="0.35">
      <c r="B126" s="69">
        <v>2</v>
      </c>
      <c r="C126" s="55" t="s">
        <v>116</v>
      </c>
    </row>
    <row r="127" spans="1:3" x14ac:dyDescent="0.35">
      <c r="B127" s="70">
        <v>3</v>
      </c>
      <c r="C127" s="62"/>
    </row>
    <row r="128" spans="1:3" ht="31" x14ac:dyDescent="0.35">
      <c r="A128" s="50" t="s">
        <v>119</v>
      </c>
      <c r="B128" s="42" t="s">
        <v>28</v>
      </c>
      <c r="C128" s="55" t="s">
        <v>114</v>
      </c>
    </row>
    <row r="129" spans="1:3" x14ac:dyDescent="0.35">
      <c r="A129" s="46" t="s">
        <v>107</v>
      </c>
      <c r="B129" s="40" t="str">
        <f>LEFT(B124,B125)</f>
        <v>C</v>
      </c>
    </row>
    <row r="130" spans="1:3" x14ac:dyDescent="0.35">
      <c r="A130" s="46" t="s">
        <v>109</v>
      </c>
      <c r="B130" s="40" t="str">
        <f t="shared" ref="B130:B131" si="0">LEFT(B125,B126)</f>
        <v>1</v>
      </c>
      <c r="C130" s="62"/>
    </row>
    <row r="131" spans="1:3" x14ac:dyDescent="0.35">
      <c r="A131" s="46" t="s">
        <v>111</v>
      </c>
      <c r="B131" s="40" t="str">
        <f t="shared" si="0"/>
        <v>2</v>
      </c>
      <c r="C131" s="62"/>
    </row>
    <row r="132" spans="1:3" ht="31" x14ac:dyDescent="0.35">
      <c r="A132" s="50" t="s">
        <v>120</v>
      </c>
      <c r="B132" s="42" t="s">
        <v>28</v>
      </c>
      <c r="C132" s="52" t="s">
        <v>115</v>
      </c>
    </row>
    <row r="133" spans="1:3" x14ac:dyDescent="0.35">
      <c r="A133" s="46" t="s">
        <v>108</v>
      </c>
      <c r="B133" s="40" t="str">
        <f>LEFT($B$124,B125)</f>
        <v>C</v>
      </c>
      <c r="C133" s="62"/>
    </row>
    <row r="134" spans="1:3" x14ac:dyDescent="0.35">
      <c r="A134" s="46" t="s">
        <v>110</v>
      </c>
      <c r="B134" s="40" t="str">
        <f t="shared" ref="B134:B135" si="1">LEFT($B$124,B126)</f>
        <v>Ca</v>
      </c>
      <c r="C134" s="62"/>
    </row>
    <row r="135" spans="1:3" x14ac:dyDescent="0.35">
      <c r="A135" s="46" t="s">
        <v>112</v>
      </c>
      <c r="B135" s="40" t="str">
        <f t="shared" si="1"/>
        <v>Cat</v>
      </c>
      <c r="C135" s="62"/>
    </row>
    <row r="136" spans="1:3" ht="6.75" customHeight="1" x14ac:dyDescent="0.55000000000000004">
      <c r="C136" s="59"/>
    </row>
    <row r="137" spans="1:3" s="32" customFormat="1" ht="23.5" x14ac:dyDescent="0.55000000000000004">
      <c r="A137" s="49"/>
      <c r="B137" s="72"/>
      <c r="C137" s="51" t="s">
        <v>117</v>
      </c>
    </row>
    <row r="138" spans="1:3" x14ac:dyDescent="0.35">
      <c r="A138" s="42"/>
    </row>
    <row r="139" spans="1:3" x14ac:dyDescent="0.35">
      <c r="C139" s="55" t="s">
        <v>125</v>
      </c>
    </row>
    <row r="140" spans="1:3" x14ac:dyDescent="0.35">
      <c r="B140" s="47" t="s">
        <v>124</v>
      </c>
    </row>
    <row r="141" spans="1:3" x14ac:dyDescent="0.35">
      <c r="B141" s="40" t="s">
        <v>83</v>
      </c>
    </row>
    <row r="142" spans="1:3" x14ac:dyDescent="0.35">
      <c r="B142" s="47" t="s">
        <v>126</v>
      </c>
    </row>
    <row r="145" spans="1:3" x14ac:dyDescent="0.35">
      <c r="A145" s="50"/>
    </row>
    <row r="146" spans="1:3" x14ac:dyDescent="0.35">
      <c r="A146" s="47" t="s">
        <v>123</v>
      </c>
      <c r="C146" s="55" t="s">
        <v>129</v>
      </c>
    </row>
    <row r="148" spans="1:3" x14ac:dyDescent="0.35">
      <c r="A148" s="50" t="s">
        <v>27</v>
      </c>
      <c r="B148" s="42" t="s">
        <v>28</v>
      </c>
    </row>
    <row r="149" spans="1:3" x14ac:dyDescent="0.35">
      <c r="A149" s="46" t="s">
        <v>128</v>
      </c>
      <c r="B149" s="40" t="str">
        <f>LEFT(A146,8)</f>
        <v xml:space="preserve">My name </v>
      </c>
      <c r="C149" s="55" t="s">
        <v>130</v>
      </c>
    </row>
    <row r="150" spans="1:3" x14ac:dyDescent="0.35">
      <c r="A150" s="46" t="s">
        <v>127</v>
      </c>
      <c r="B150" s="40" t="str">
        <f>LEFT(Miow,8)</f>
        <v xml:space="preserve">My name </v>
      </c>
    </row>
  </sheetData>
  <mergeCells count="2">
    <mergeCell ref="A47:B47"/>
    <mergeCell ref="A48:B48"/>
  </mergeCells>
  <pageMargins left="0.25" right="0.25" top="0.5" bottom="0.5" header="0.3" footer="0.3"/>
  <pageSetup scale="64" fitToHeight="0" orientation="landscape" r:id="rId1"/>
  <headerFooter>
    <oddHeader>&amp;R&amp;8&amp;K00-049&amp;P of &amp;N</oddHeader>
    <oddFooter>&amp;C&amp;8&amp;K00-049Julie.Marcoux@dal.ca - April 2016 - Dalhousie University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About</vt:lpstr>
      <vt:lpstr>Excel Formulas</vt:lpstr>
      <vt:lpstr>Quick Practice</vt:lpstr>
      <vt:lpstr>Instructions</vt:lpstr>
      <vt:lpstr>Exercise</vt:lpstr>
      <vt:lpstr>Printable Excel Formulas</vt:lpstr>
      <vt:lpstr>'Printable Excel Formulas'!Anatomy_of_a_Formula</vt:lpstr>
      <vt:lpstr>Anatomy_of_a_Formula</vt:lpstr>
      <vt:lpstr>'Printable Excel Formulas'!Copying__Pasting__and_Dragging_Formulas</vt:lpstr>
      <vt:lpstr>Copying__Pasting__and_Dragging_Formulas</vt:lpstr>
      <vt:lpstr>'Printable Excel Formulas'!Inserting_Formulas_in_a_worksheet</vt:lpstr>
      <vt:lpstr>Inserting_Formulas_in_a_worksheet</vt:lpstr>
      <vt:lpstr>'Printable Excel Formulas'!Miow</vt:lpstr>
      <vt:lpstr>Miow</vt:lpstr>
      <vt:lpstr>'Printable Excel Formulas'!Names_in_Formulas</vt:lpstr>
      <vt:lpstr>Names_in_Formulas</vt:lpstr>
      <vt:lpstr>'Excel Formulas'!Print_Area</vt:lpstr>
      <vt:lpstr>Instructions!Print_Area</vt:lpstr>
      <vt:lpstr>'Printable Excel Formulas'!Print_Area</vt:lpstr>
      <vt:lpstr>Quick1</vt:lpstr>
      <vt:lpstr>Quick2</vt:lpstr>
      <vt:lpstr>Quick3</vt:lpstr>
      <vt:lpstr>Quick4</vt:lpstr>
      <vt:lpstr>'Printable Excel Formulas'!Relative_and_Absolute_Cell_Addresses_in_Formulas</vt:lpstr>
      <vt:lpstr>Relative_and_Absolute_Cell_Addresses_in_Formulas</vt:lpstr>
      <vt:lpstr>'Printable Excel Formulas'!TopMenu</vt:lpstr>
      <vt:lpstr>TopMenu</vt:lpstr>
      <vt:lpstr>'Printable Excel Formulas'!Viewing_and_Finding_Formulas</vt:lpstr>
      <vt:lpstr>Viewing_and_Finding_Formulas</vt:lpstr>
      <vt:lpstr>'Printable Excel Formulas'!What_is_a_Formula?</vt:lpstr>
      <vt:lpstr>What_is_a_Formula?</vt:lpstr>
      <vt:lpstr>'Printable Excel Formulas'!Working_with_Formulas</vt:lpstr>
      <vt:lpstr>Working_with_Formulas</vt:lpstr>
    </vt:vector>
  </TitlesOfParts>
  <Company>Dalhousie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jmarcoux</dc:creator>
  <cp:lastModifiedBy>DIGITAL</cp:lastModifiedBy>
  <cp:lastPrinted>2026-05-05T16:00:10Z</cp:lastPrinted>
  <dcterms:created xsi:type="dcterms:W3CDTF">2015-11-18T13:40:50Z</dcterms:created>
  <dcterms:modified xsi:type="dcterms:W3CDTF">2026-08-08T19:20:03Z</dcterms:modified>
</cp:coreProperties>
</file>