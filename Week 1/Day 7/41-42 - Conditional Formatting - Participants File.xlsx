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nial\Data Analysis and Business Intelligence\Week 1\Day 7\"/>
    </mc:Choice>
  </mc:AlternateContent>
  <xr:revisionPtr revIDLastSave="0" documentId="13_ncr:1_{E0DD6226-3689-40B9-8428-DCA957B5C6BE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Conditional Formatting - Part 1" sheetId="1" r:id="rId1"/>
    <sheet name="Conditional Formatting - Part 2" sheetId="2" r:id="rId2"/>
  </sheets>
  <externalReferences>
    <externalReference r:id="rId3"/>
  </externalReferences>
  <definedNames>
    <definedName name="Expenses">[1]Iterate!$C$4</definedName>
    <definedName name="Finley_Sprocket">'[1]Break Even (Solver)'!$B$3:$B$12</definedName>
    <definedName name="Gross_Margin">[1]Iterate!$C$3</definedName>
    <definedName name="Gross_Profit">[1]Iterate!$C$5</definedName>
    <definedName name="Langstrom_Wrench">'[1]Break Even (Solver)'!$C$3:$C$12</definedName>
    <definedName name="Price">'[1]Break Even (Solver)'!$B$3:$C$3</definedName>
    <definedName name="Profit">'[1]Break Even (Solver)'!$B$12:$C$12</definedName>
    <definedName name="Profit_Sharing">[1]Iterate!$C$6</definedName>
    <definedName name="Revenue">'[1]Break Even (Solver)'!$B$5:$C$5</definedName>
    <definedName name="Total_Costs">'[1]Break Even (Solver)'!$B$10:$C$10</definedName>
    <definedName name="Total_Revenue">[1]Margin!$C$7</definedName>
    <definedName name="Unit_Cost">'[1]Break Even (Solver)'!$B$7:$C$7</definedName>
    <definedName name="Units">'[1]Break Even (Solver)'!$B$4:$C$4</definedName>
    <definedName name="Variable_Costs">'[1]Break Even (Solver)'!$B$8:$C$8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0" i="2" l="1"/>
  <c r="F41" i="2"/>
  <c r="F42" i="2"/>
  <c r="F43" i="2"/>
  <c r="F44" i="2"/>
  <c r="F45" i="2"/>
  <c r="F46" i="2"/>
  <c r="F47" i="2"/>
  <c r="F48" i="2"/>
  <c r="F49" i="2"/>
  <c r="F50" i="2"/>
  <c r="F39" i="2"/>
  <c r="H25" i="2"/>
  <c r="H26" i="2" s="1"/>
  <c r="H27" i="2" s="1"/>
  <c r="H24" i="2"/>
  <c r="G5" i="2"/>
  <c r="G6" i="2"/>
  <c r="G7" i="2"/>
  <c r="G8" i="2"/>
  <c r="G9" i="2"/>
  <c r="G10" i="2"/>
  <c r="G11" i="2"/>
  <c r="G12" i="2"/>
  <c r="G13" i="2"/>
  <c r="G14" i="2"/>
  <c r="G15" i="2"/>
  <c r="G4" i="2"/>
  <c r="F5" i="2"/>
  <c r="F6" i="2"/>
  <c r="F7" i="2"/>
  <c r="F8" i="2"/>
  <c r="F9" i="2"/>
  <c r="F10" i="2"/>
  <c r="F11" i="2"/>
  <c r="F12" i="2"/>
  <c r="F13" i="2"/>
  <c r="F14" i="2"/>
  <c r="F15" i="2"/>
  <c r="F4" i="2"/>
  <c r="C45" i="1"/>
  <c r="D45" i="1"/>
  <c r="E45" i="1"/>
  <c r="B45" i="1"/>
  <c r="C16" i="1"/>
  <c r="D16" i="1"/>
  <c r="E16" i="1"/>
  <c r="B16" i="1"/>
</calcChain>
</file>

<file path=xl/sharedStrings.xml><?xml version="1.0" encoding="utf-8"?>
<sst xmlns="http://schemas.openxmlformats.org/spreadsheetml/2006/main" count="116" uniqueCount="43">
  <si>
    <t>Customer</t>
  </si>
  <si>
    <t>Q1</t>
  </si>
  <si>
    <t>Q2</t>
  </si>
  <si>
    <t>Q3</t>
  </si>
  <si>
    <t>Q4</t>
  </si>
  <si>
    <t>Total</t>
  </si>
  <si>
    <t>Alluring Barometer Inc.</t>
  </si>
  <si>
    <t>Matchless Door Corporation</t>
  </si>
  <si>
    <t>Supreme Belt Corporation</t>
  </si>
  <si>
    <t>Special Doorbell Inc.</t>
  </si>
  <si>
    <t>Ideal Barometer Inc.</t>
  </si>
  <si>
    <t>Sure Eggbeater Inc.</t>
  </si>
  <si>
    <t>Supreme Lawn Traders</t>
  </si>
  <si>
    <t>Guaranteed Sandal Company</t>
  </si>
  <si>
    <t>Crisp Barometer Company</t>
  </si>
  <si>
    <t>Secure Linen Supply</t>
  </si>
  <si>
    <t>Rare Umbrella Corporation</t>
  </si>
  <si>
    <t>Trustworthy Utensil Corporation</t>
  </si>
  <si>
    <t>Y 2004</t>
  </si>
  <si>
    <t>Y 2005</t>
  </si>
  <si>
    <t>Y 2006</t>
  </si>
  <si>
    <t>Y 2007</t>
  </si>
  <si>
    <t>Key Learning:</t>
  </si>
  <si>
    <t>What is Conditional Formatting</t>
  </si>
  <si>
    <t>Highlighting Cells Rules</t>
  </si>
  <si>
    <t>Top/Bottom Highlighting Rules</t>
  </si>
  <si>
    <t>Work Smarter</t>
  </si>
  <si>
    <t>Greater</t>
  </si>
  <si>
    <t>Lesser</t>
  </si>
  <si>
    <t>Duplicate</t>
  </si>
  <si>
    <t>Jahangir</t>
  </si>
  <si>
    <t>Sachwani</t>
  </si>
  <si>
    <t>Haseeb</t>
  </si>
  <si>
    <t>Data Bars</t>
  </si>
  <si>
    <t>Colour Scales</t>
  </si>
  <si>
    <t>Creating Colour Legends</t>
  </si>
  <si>
    <t>Icons Sets</t>
  </si>
  <si>
    <t>Icon Sets</t>
  </si>
  <si>
    <t>Text</t>
  </si>
  <si>
    <t>Inc</t>
  </si>
  <si>
    <t>Date Occurring</t>
  </si>
  <si>
    <t>Top Bottom Highlight Rules</t>
  </si>
  <si>
    <t>Highlight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</si>
</sst>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\G\e\n\e\r\a\l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1" fillId="0" borderId="0"/>
    <xf numFmtId="164" fontId="2" fillId="0" borderId="0"/>
    <xf numFmtId="0" fontId="2" fillId="0" borderId="0"/>
    <xf numFmtId="43" fontId="3" fillId="0" borderId="0" applyFont="0" applyFill="0" applyBorder="0" applyAlignment="0" applyProtection="0"/>
  </cellStyleXfs>
  <cellXfs count="15">
    <xf numFmtId="0" fontId="0" fillId="0" borderId="0" xfId="0"/>
    <xf numFmtId="165" fontId="7" fillId="0" borderId="0" xfId="5" applyNumberFormat="1" applyFont="1"/>
    <xf numFmtId="165" fontId="5" fillId="0" borderId="0" xfId="5" applyNumberFormat="1" applyFont="1"/>
    <xf numFmtId="165" fontId="8" fillId="0" borderId="0" xfId="5" applyNumberFormat="1" applyFont="1"/>
    <xf numFmtId="165" fontId="9" fillId="2" borderId="0" xfId="5" applyNumberFormat="1" applyFont="1" applyFill="1"/>
    <xf numFmtId="165" fontId="4" fillId="0" borderId="0" xfId="5" applyNumberFormat="1" applyFont="1"/>
    <xf numFmtId="165" fontId="6" fillId="5" borderId="0" xfId="5" applyNumberFormat="1" applyFont="1" applyFill="1"/>
    <xf numFmtId="165" fontId="5" fillId="5" borderId="0" xfId="5" applyNumberFormat="1" applyFont="1" applyFill="1"/>
    <xf numFmtId="165" fontId="5" fillId="4" borderId="0" xfId="5" applyNumberFormat="1" applyFont="1" applyFill="1"/>
    <xf numFmtId="165" fontId="5" fillId="3" borderId="0" xfId="5" applyNumberFormat="1" applyFont="1" applyFill="1"/>
    <xf numFmtId="165" fontId="9" fillId="6" borderId="0" xfId="5" applyNumberFormat="1" applyFont="1" applyFill="1"/>
    <xf numFmtId="165" fontId="9" fillId="6" borderId="0" xfId="5" applyNumberFormat="1" applyFont="1" applyFill="1" applyAlignment="1">
      <alignment horizontal="right"/>
    </xf>
    <xf numFmtId="165" fontId="0" fillId="0" borderId="0" xfId="5" applyNumberFormat="1" applyFont="1"/>
    <xf numFmtId="165" fontId="6" fillId="6" borderId="0" xfId="5" applyNumberFormat="1" applyFont="1" applyFill="1"/>
    <xf numFmtId="14" fontId="5" fillId="0" borderId="0" xfId="5" applyNumberFormat="1" applyFont="1"/>
  </cellXfs>
  <cellStyles count="6">
    <cellStyle name="Comma" xfId="5" builtinId="3"/>
    <cellStyle name="Comma 2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</cellStyles>
  <dxfs count="8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novincconsultingcom-my.sharepoint.com/Noor/Excel%20-%20Trainings/Advanced%20Excel%202007%20CD%20-%2009-12-2009/What%20if/Samples/Analysi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ture Value"/>
      <sheetName val="Future Value (Data Table)"/>
      <sheetName val="Future Value (2-Inputs)"/>
      <sheetName val="Trend"/>
      <sheetName val="Iterate"/>
      <sheetName val="Correlation"/>
      <sheetName val="Descriptive"/>
      <sheetName val="Histogram"/>
      <sheetName val="Random (Dice Roll)"/>
      <sheetName val="Rank &amp; Percentile"/>
      <sheetName val="Goal Seek"/>
      <sheetName val="Margin"/>
      <sheetName val="Break Even"/>
      <sheetName val="Equations"/>
      <sheetName val="Chart Goal Seek"/>
      <sheetName val="Break Even (Goal Seek)"/>
      <sheetName val="Break Even (Solver)"/>
    </sheetNames>
    <sheetDataSet>
      <sheetData sheetId="0"/>
      <sheetData sheetId="1"/>
      <sheetData sheetId="2"/>
      <sheetData sheetId="3"/>
      <sheetData sheetId="4">
        <row r="3">
          <cell r="C3">
            <v>1000000</v>
          </cell>
        </row>
        <row r="4">
          <cell r="C4">
            <v>900000</v>
          </cell>
        </row>
        <row r="5">
          <cell r="C5">
            <v>100000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7">
          <cell r="C7">
            <v>900000</v>
          </cell>
        </row>
      </sheetData>
      <sheetData sheetId="12"/>
      <sheetData sheetId="13"/>
      <sheetData sheetId="14"/>
      <sheetData sheetId="15"/>
      <sheetData sheetId="16">
        <row r="3">
          <cell r="B3">
            <v>24.95</v>
          </cell>
          <cell r="C3">
            <v>19.95</v>
          </cell>
        </row>
        <row r="4">
          <cell r="B4">
            <v>8032.1285140562231</v>
          </cell>
          <cell r="C4">
            <v>7177.0334928229695</v>
          </cell>
        </row>
        <row r="5">
          <cell r="B5">
            <v>200401.60642570278</v>
          </cell>
          <cell r="C5">
            <v>143181.81818181823</v>
          </cell>
        </row>
        <row r="7">
          <cell r="B7">
            <v>12.5</v>
          </cell>
          <cell r="C7">
            <v>9.5</v>
          </cell>
        </row>
        <row r="8">
          <cell r="B8">
            <v>93224.572932879819</v>
          </cell>
          <cell r="C8">
            <v>60149.689667761981</v>
          </cell>
        </row>
        <row r="9">
          <cell r="B9">
            <v>100000</v>
          </cell>
          <cell r="C9">
            <v>75000</v>
          </cell>
        </row>
        <row r="10">
          <cell r="B10">
            <v>193224.57293287982</v>
          </cell>
          <cell r="C10">
            <v>135149.68966776197</v>
          </cell>
        </row>
        <row r="12">
          <cell r="B12">
            <v>7177.0334928229568</v>
          </cell>
          <cell r="C12">
            <v>8032.1285140562686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</sheetPr>
  <dimension ref="A1:I45"/>
  <sheetViews>
    <sheetView topLeftCell="A33" zoomScale="128" zoomScaleNormal="170" workbookViewId="0">
      <selection activeCell="B45" sqref="B45:E45"/>
    </sheetView>
  </sheetViews>
  <sheetFormatPr defaultColWidth="9.08984375" defaultRowHeight="15.5" x14ac:dyDescent="0.35"/>
  <cols>
    <col min="1" max="1" width="33.1796875" style="2" bestFit="1" customWidth="1"/>
    <col min="2" max="5" width="10.1796875" style="2" customWidth="1"/>
    <col min="7" max="7" width="6.453125" style="2" customWidth="1"/>
    <col min="8" max="9" width="9.08984375" style="2"/>
    <col min="10" max="10" width="11.08984375" style="2" customWidth="1"/>
    <col min="11" max="16384" width="9.08984375" style="2"/>
  </cols>
  <sheetData>
    <row r="1" spans="1:9" x14ac:dyDescent="0.35">
      <c r="A1" s="4" t="s">
        <v>42</v>
      </c>
      <c r="H1" s="1" t="s">
        <v>22</v>
      </c>
    </row>
    <row r="2" spans="1:9" x14ac:dyDescent="0.35">
      <c r="A2" s="3"/>
      <c r="H2" s="3" t="s">
        <v>23</v>
      </c>
    </row>
    <row r="3" spans="1:9" x14ac:dyDescent="0.35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H3" s="3" t="s">
        <v>24</v>
      </c>
    </row>
    <row r="4" spans="1:9" x14ac:dyDescent="0.35">
      <c r="A4" s="5" t="s">
        <v>6</v>
      </c>
      <c r="B4" s="5">
        <v>29120</v>
      </c>
      <c r="C4" s="5">
        <v>19162</v>
      </c>
      <c r="D4" s="5">
        <v>19219</v>
      </c>
      <c r="E4" s="5">
        <v>13240</v>
      </c>
      <c r="H4" s="3" t="s">
        <v>25</v>
      </c>
    </row>
    <row r="5" spans="1:9" x14ac:dyDescent="0.35">
      <c r="A5" s="5" t="s">
        <v>7</v>
      </c>
      <c r="B5" s="5">
        <v>15154</v>
      </c>
      <c r="C5" s="5">
        <v>24516</v>
      </c>
      <c r="D5" s="5">
        <v>29110</v>
      </c>
      <c r="E5" s="5">
        <v>28228</v>
      </c>
    </row>
    <row r="6" spans="1:9" x14ac:dyDescent="0.35">
      <c r="A6" s="5" t="s">
        <v>8</v>
      </c>
      <c r="B6" s="5">
        <v>12005</v>
      </c>
      <c r="C6" s="5">
        <v>20728</v>
      </c>
      <c r="D6" s="5">
        <v>25454</v>
      </c>
      <c r="E6" s="5">
        <v>28650</v>
      </c>
    </row>
    <row r="7" spans="1:9" x14ac:dyDescent="0.35">
      <c r="A7" s="5" t="s">
        <v>9</v>
      </c>
      <c r="B7" s="5">
        <v>12724</v>
      </c>
      <c r="C7" s="5">
        <v>10714</v>
      </c>
      <c r="D7" s="5">
        <v>16969</v>
      </c>
      <c r="E7" s="5">
        <v>19777</v>
      </c>
      <c r="H7" s="6" t="s">
        <v>26</v>
      </c>
      <c r="I7" s="7"/>
    </row>
    <row r="8" spans="1:9" x14ac:dyDescent="0.35">
      <c r="A8" s="5" t="s">
        <v>10</v>
      </c>
      <c r="B8" s="5">
        <v>29893</v>
      </c>
      <c r="C8" s="5">
        <v>25585</v>
      </c>
      <c r="D8" s="5">
        <v>15244</v>
      </c>
      <c r="E8" s="5">
        <v>22373</v>
      </c>
      <c r="H8" s="2" t="s">
        <v>27</v>
      </c>
      <c r="I8" s="8">
        <v>22000</v>
      </c>
    </row>
    <row r="9" spans="1:9" x14ac:dyDescent="0.35">
      <c r="A9" s="5" t="s">
        <v>11</v>
      </c>
      <c r="B9" s="5">
        <v>19505</v>
      </c>
      <c r="C9" s="5">
        <v>26123</v>
      </c>
      <c r="D9" s="5">
        <v>14444</v>
      </c>
      <c r="E9" s="5">
        <v>25501</v>
      </c>
      <c r="H9" s="2" t="s">
        <v>28</v>
      </c>
      <c r="I9" s="9">
        <v>18000</v>
      </c>
    </row>
    <row r="10" spans="1:9" x14ac:dyDescent="0.35">
      <c r="A10" s="5" t="s">
        <v>12</v>
      </c>
      <c r="B10" s="5">
        <v>13074</v>
      </c>
      <c r="C10" s="5">
        <v>10495</v>
      </c>
      <c r="D10" s="5">
        <v>21567</v>
      </c>
      <c r="E10" s="5">
        <v>12334</v>
      </c>
    </row>
    <row r="11" spans="1:9" x14ac:dyDescent="0.35">
      <c r="A11" s="5" t="s">
        <v>13</v>
      </c>
      <c r="B11" s="5">
        <v>12818</v>
      </c>
      <c r="C11" s="5">
        <v>26835</v>
      </c>
      <c r="D11" s="5">
        <v>28948</v>
      </c>
      <c r="E11" s="5">
        <v>11872</v>
      </c>
    </row>
    <row r="12" spans="1:9" x14ac:dyDescent="0.35">
      <c r="A12" s="5" t="s">
        <v>14</v>
      </c>
      <c r="B12" s="5">
        <v>24981</v>
      </c>
      <c r="C12" s="5">
        <v>16197</v>
      </c>
      <c r="D12" s="5">
        <v>19031</v>
      </c>
      <c r="E12" s="5">
        <v>16269</v>
      </c>
      <c r="H12" s="13" t="s">
        <v>38</v>
      </c>
      <c r="I12" s="8" t="s">
        <v>39</v>
      </c>
    </row>
    <row r="13" spans="1:9" x14ac:dyDescent="0.35">
      <c r="A13" s="5" t="s">
        <v>15</v>
      </c>
      <c r="B13" s="5">
        <v>24555</v>
      </c>
      <c r="C13" s="5">
        <v>19244</v>
      </c>
      <c r="D13" s="5">
        <v>12817</v>
      </c>
      <c r="E13" s="5">
        <v>15713</v>
      </c>
    </row>
    <row r="14" spans="1:9" x14ac:dyDescent="0.35">
      <c r="A14" s="5" t="s">
        <v>16</v>
      </c>
      <c r="B14" s="5">
        <v>27825</v>
      </c>
      <c r="C14" s="5">
        <v>26673</v>
      </c>
      <c r="D14" s="5">
        <v>21549</v>
      </c>
      <c r="E14" s="5">
        <v>20681</v>
      </c>
    </row>
    <row r="15" spans="1:9" x14ac:dyDescent="0.35">
      <c r="A15" s="5" t="s">
        <v>17</v>
      </c>
      <c r="B15" s="5">
        <v>23815</v>
      </c>
      <c r="C15" s="5">
        <v>26861</v>
      </c>
      <c r="D15" s="5">
        <v>20381</v>
      </c>
      <c r="E15" s="5">
        <v>22299</v>
      </c>
    </row>
    <row r="16" spans="1:9" x14ac:dyDescent="0.35">
      <c r="A16" s="5" t="s">
        <v>5</v>
      </c>
      <c r="B16" s="5">
        <f>SUM(B4:B15)</f>
        <v>245469</v>
      </c>
      <c r="C16" s="5">
        <f t="shared" ref="C16:E16" si="0">SUM(C4:C15)</f>
        <v>253133</v>
      </c>
      <c r="D16" s="5">
        <f t="shared" si="0"/>
        <v>244733</v>
      </c>
      <c r="E16" s="5">
        <f t="shared" si="0"/>
        <v>236937</v>
      </c>
    </row>
    <row r="18" spans="1:5" x14ac:dyDescent="0.35">
      <c r="A18" s="4" t="s">
        <v>40</v>
      </c>
      <c r="D18" s="4" t="s">
        <v>29</v>
      </c>
    </row>
    <row r="19" spans="1:5" x14ac:dyDescent="0.35">
      <c r="A19" s="14">
        <v>46244</v>
      </c>
      <c r="D19" s="2">
        <v>1</v>
      </c>
    </row>
    <row r="20" spans="1:5" x14ac:dyDescent="0.35">
      <c r="A20" s="14">
        <v>46254</v>
      </c>
      <c r="D20" s="2">
        <v>2</v>
      </c>
    </row>
    <row r="21" spans="1:5" x14ac:dyDescent="0.35">
      <c r="A21" s="14">
        <v>46274</v>
      </c>
      <c r="D21" s="2">
        <v>3</v>
      </c>
    </row>
    <row r="22" spans="1:5" x14ac:dyDescent="0.35">
      <c r="A22" s="14">
        <v>46253</v>
      </c>
      <c r="D22" s="2" t="s">
        <v>30</v>
      </c>
    </row>
    <row r="23" spans="1:5" x14ac:dyDescent="0.35">
      <c r="A23" s="14">
        <v>46243</v>
      </c>
      <c r="D23" s="2" t="s">
        <v>31</v>
      </c>
    </row>
    <row r="24" spans="1:5" x14ac:dyDescent="0.35">
      <c r="A24" s="14"/>
      <c r="D24" s="2" t="s">
        <v>32</v>
      </c>
    </row>
    <row r="25" spans="1:5" x14ac:dyDescent="0.35">
      <c r="D25" s="2">
        <v>1</v>
      </c>
    </row>
    <row r="26" spans="1:5" x14ac:dyDescent="0.35">
      <c r="D26" s="2" t="s">
        <v>32</v>
      </c>
    </row>
    <row r="30" spans="1:5" x14ac:dyDescent="0.35">
      <c r="A30" s="4" t="s">
        <v>41</v>
      </c>
    </row>
    <row r="32" spans="1:5" x14ac:dyDescent="0.35">
      <c r="A32" s="10" t="s">
        <v>0</v>
      </c>
      <c r="B32" s="10" t="s">
        <v>18</v>
      </c>
      <c r="C32" s="10" t="s">
        <v>19</v>
      </c>
      <c r="D32" s="10" t="s">
        <v>20</v>
      </c>
      <c r="E32" s="10" t="s">
        <v>21</v>
      </c>
    </row>
    <row r="33" spans="1:5" x14ac:dyDescent="0.35">
      <c r="A33" s="2" t="s">
        <v>6</v>
      </c>
      <c r="B33" s="2">
        <v>58860</v>
      </c>
      <c r="C33" s="2">
        <v>65400</v>
      </c>
      <c r="D33" s="2">
        <v>72667</v>
      </c>
      <c r="E33" s="2">
        <v>80741</v>
      </c>
    </row>
    <row r="34" spans="1:5" x14ac:dyDescent="0.35">
      <c r="A34" s="2" t="s">
        <v>7</v>
      </c>
      <c r="B34" s="2">
        <v>70718</v>
      </c>
      <c r="C34" s="2">
        <v>78576</v>
      </c>
      <c r="D34" s="2">
        <v>87307</v>
      </c>
      <c r="E34" s="2">
        <v>97008</v>
      </c>
    </row>
    <row r="35" spans="1:5" x14ac:dyDescent="0.35">
      <c r="A35" s="2" t="s">
        <v>8</v>
      </c>
      <c r="B35" s="2">
        <v>63304</v>
      </c>
      <c r="C35" s="2">
        <v>70338</v>
      </c>
      <c r="D35" s="2">
        <v>78153</v>
      </c>
      <c r="E35" s="2">
        <v>86837</v>
      </c>
    </row>
    <row r="36" spans="1:5" x14ac:dyDescent="0.35">
      <c r="A36" s="2" t="s">
        <v>9</v>
      </c>
      <c r="B36" s="2">
        <v>51164</v>
      </c>
      <c r="C36" s="2">
        <v>56849</v>
      </c>
      <c r="D36" s="2">
        <v>63166</v>
      </c>
      <c r="E36" s="2">
        <v>70184</v>
      </c>
    </row>
    <row r="37" spans="1:5" x14ac:dyDescent="0.35">
      <c r="A37" s="2" t="s">
        <v>10</v>
      </c>
      <c r="B37" s="2">
        <v>67866</v>
      </c>
      <c r="C37" s="2">
        <v>110000</v>
      </c>
      <c r="D37" s="2">
        <v>83786</v>
      </c>
      <c r="E37" s="2">
        <v>93095</v>
      </c>
    </row>
    <row r="38" spans="1:5" x14ac:dyDescent="0.35">
      <c r="A38" s="2" t="s">
        <v>11</v>
      </c>
      <c r="B38" s="2">
        <v>62383</v>
      </c>
      <c r="C38" s="2">
        <v>69314</v>
      </c>
      <c r="D38" s="2">
        <v>77016</v>
      </c>
      <c r="E38" s="2">
        <v>85573</v>
      </c>
    </row>
    <row r="39" spans="1:5" x14ac:dyDescent="0.35">
      <c r="A39" s="2" t="s">
        <v>12</v>
      </c>
      <c r="B39" s="2">
        <v>41896</v>
      </c>
      <c r="C39" s="2">
        <v>46551</v>
      </c>
      <c r="D39" s="2">
        <v>51723</v>
      </c>
      <c r="E39" s="2">
        <v>57470</v>
      </c>
    </row>
    <row r="40" spans="1:5" x14ac:dyDescent="0.35">
      <c r="A40" s="2" t="s">
        <v>13</v>
      </c>
      <c r="B40" s="2">
        <v>58665</v>
      </c>
      <c r="C40" s="2">
        <v>65183</v>
      </c>
      <c r="D40" s="2">
        <v>72426</v>
      </c>
      <c r="E40" s="2">
        <v>80473</v>
      </c>
    </row>
    <row r="41" spans="1:5" x14ac:dyDescent="0.35">
      <c r="A41" s="2" t="s">
        <v>14</v>
      </c>
      <c r="B41" s="2">
        <v>55752</v>
      </c>
      <c r="C41" s="2">
        <v>61947</v>
      </c>
      <c r="D41" s="2">
        <v>68830</v>
      </c>
      <c r="E41" s="2">
        <v>76478</v>
      </c>
    </row>
    <row r="42" spans="1:5" x14ac:dyDescent="0.35">
      <c r="A42" s="2" t="s">
        <v>15</v>
      </c>
      <c r="B42" s="2">
        <v>52727</v>
      </c>
      <c r="C42" s="2">
        <v>58586</v>
      </c>
      <c r="D42" s="2">
        <v>65096</v>
      </c>
      <c r="E42" s="2">
        <v>72329</v>
      </c>
    </row>
    <row r="43" spans="1:5" x14ac:dyDescent="0.35">
      <c r="A43" s="2" t="s">
        <v>16</v>
      </c>
      <c r="B43" s="2">
        <v>70515</v>
      </c>
      <c r="C43" s="2">
        <v>78350</v>
      </c>
      <c r="D43" s="2">
        <v>87055</v>
      </c>
      <c r="E43" s="2">
        <v>96728</v>
      </c>
    </row>
    <row r="44" spans="1:5" x14ac:dyDescent="0.35">
      <c r="A44" s="2" t="s">
        <v>17</v>
      </c>
      <c r="B44" s="2">
        <v>68056</v>
      </c>
      <c r="C44" s="2">
        <v>75618</v>
      </c>
      <c r="D44" s="2">
        <v>84020</v>
      </c>
      <c r="E44" s="2">
        <v>93356</v>
      </c>
    </row>
    <row r="45" spans="1:5" x14ac:dyDescent="0.35">
      <c r="A45" s="2" t="s">
        <v>5</v>
      </c>
      <c r="B45" s="2">
        <f>SUM(B33:B44)</f>
        <v>721906</v>
      </c>
      <c r="C45" s="2">
        <f t="shared" ref="C45:E45" si="1">SUM(C33:C44)</f>
        <v>836712</v>
      </c>
      <c r="D45" s="2">
        <f t="shared" si="1"/>
        <v>891245</v>
      </c>
      <c r="E45" s="2">
        <f t="shared" si="1"/>
        <v>990272</v>
      </c>
    </row>
  </sheetData>
  <conditionalFormatting sqref="B4:E15">
    <cfRule type="cellIs" dxfId="18" priority="13" operator="greaterThan">
      <formula>$I$8</formula>
    </cfRule>
    <cfRule type="cellIs" dxfId="17" priority="12" operator="lessThan">
      <formula>$I$9</formula>
    </cfRule>
  </conditionalFormatting>
  <conditionalFormatting sqref="A19:A24">
    <cfRule type="timePeriod" dxfId="14" priority="6" timePeriod="yesterday">
      <formula>FLOOR(A19,1)=TODAY()-1</formula>
    </cfRule>
    <cfRule type="timePeriod" dxfId="13" priority="5" timePeriod="nextWeek">
      <formula>AND(ROUNDDOWN(A19,0)-TODAY()&gt;(7-WEEKDAY(TODAY())),ROUNDDOWN(A19,0)-TODAY()&lt;(15-WEEKDAY(TODAY())))</formula>
    </cfRule>
    <cfRule type="timePeriod" dxfId="12" priority="4" timePeriod="nextMonth">
      <formula>AND(MONTH(A19)=MONTH(EDATE(TODAY(),0+1)),YEAR(A19)=YEAR(EDATE(TODAY(),0+1)))</formula>
    </cfRule>
  </conditionalFormatting>
  <conditionalFormatting sqref="D19:D26">
    <cfRule type="duplicateValues" dxfId="11" priority="3"/>
  </conditionalFormatting>
  <conditionalFormatting sqref="B33:E44">
    <cfRule type="top10" dxfId="0" priority="2" rank="10"/>
    <cfRule type="top10" dxfId="1" priority="1" bottom="1" rank="10"/>
  </conditionalFormatting>
  <pageMargins left="0.75" right="0.75" top="1" bottom="1" header="0.5" footer="0.5"/>
  <pageSetup orientation="portrait" horizontalDpi="300" verticalDpi="300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1" operator="containsText" id="{A0A41520-1C2D-4586-AB2F-9C55F9FD9323}">
            <xm:f>NOT(ISERROR(SEARCH($I$12,A4)))</xm:f>
            <xm:f>$I$12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0" operator="containsText" id="{2EE823C4-5E02-40E8-9B07-420EBB7B13BE}">
            <xm:f>NOT(ISERROR(SEARCH($I$12,A4)))</xm:f>
            <xm:f>$I$12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A4:A15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363A0-3E91-4E11-AC87-BA8FBF2C4B94}">
  <sheetPr>
    <tabColor rgb="FF92D050"/>
  </sheetPr>
  <dimension ref="A1:I51"/>
  <sheetViews>
    <sheetView tabSelected="1" zoomScale="93" zoomScaleNormal="170" workbookViewId="0">
      <selection activeCell="I45" sqref="I45"/>
    </sheetView>
  </sheetViews>
  <sheetFormatPr defaultColWidth="9.08984375" defaultRowHeight="15.5" x14ac:dyDescent="0.35"/>
  <cols>
    <col min="1" max="1" width="32.08984375" style="2" customWidth="1"/>
    <col min="2" max="5" width="8.453125" style="2" bestFit="1" customWidth="1"/>
    <col min="6" max="6" width="11" style="2" bestFit="1" customWidth="1"/>
    <col min="7" max="8" width="9.08984375" style="2"/>
    <col min="9" max="9" width="22.08984375" style="2" bestFit="1" customWidth="1"/>
    <col min="10" max="16384" width="9.08984375" style="2"/>
  </cols>
  <sheetData>
    <row r="1" spans="1:9" x14ac:dyDescent="0.35">
      <c r="A1" s="4" t="s">
        <v>33</v>
      </c>
      <c r="I1" s="1" t="s">
        <v>22</v>
      </c>
    </row>
    <row r="2" spans="1:9" x14ac:dyDescent="0.35">
      <c r="I2" s="3" t="s">
        <v>33</v>
      </c>
    </row>
    <row r="3" spans="1:9" x14ac:dyDescent="0.35">
      <c r="A3" s="10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I3" s="3" t="s">
        <v>34</v>
      </c>
    </row>
    <row r="4" spans="1:9" x14ac:dyDescent="0.35">
      <c r="A4" s="2" t="s">
        <v>6</v>
      </c>
      <c r="B4" s="2">
        <v>29120</v>
      </c>
      <c r="C4" s="2">
        <v>19162</v>
      </c>
      <c r="D4" s="2">
        <v>19219</v>
      </c>
      <c r="E4" s="2">
        <v>13240</v>
      </c>
      <c r="F4" s="2">
        <f>SUM(B4:E4)</f>
        <v>80741</v>
      </c>
      <c r="G4" s="2">
        <f>F4</f>
        <v>80741</v>
      </c>
      <c r="I4" s="3" t="s">
        <v>35</v>
      </c>
    </row>
    <row r="5" spans="1:9" x14ac:dyDescent="0.35">
      <c r="A5" s="2" t="s">
        <v>7</v>
      </c>
      <c r="B5" s="2">
        <v>15154</v>
      </c>
      <c r="C5" s="2">
        <v>24516</v>
      </c>
      <c r="D5" s="2">
        <v>29110</v>
      </c>
      <c r="E5" s="2">
        <v>28228</v>
      </c>
      <c r="F5" s="2">
        <f t="shared" ref="F5:F15" si="0">SUM(B5:E5)</f>
        <v>97008</v>
      </c>
      <c r="G5" s="2">
        <f t="shared" ref="G5:G15" si="1">F5</f>
        <v>97008</v>
      </c>
      <c r="I5" s="3" t="s">
        <v>36</v>
      </c>
    </row>
    <row r="6" spans="1:9" x14ac:dyDescent="0.35">
      <c r="A6" s="2" t="s">
        <v>8</v>
      </c>
      <c r="B6" s="2">
        <v>12005</v>
      </c>
      <c r="C6" s="2">
        <v>20728</v>
      </c>
      <c r="D6" s="2">
        <v>25454</v>
      </c>
      <c r="E6" s="2">
        <v>28650</v>
      </c>
      <c r="F6" s="2">
        <f t="shared" si="0"/>
        <v>86837</v>
      </c>
      <c r="G6" s="2">
        <f t="shared" si="1"/>
        <v>86837</v>
      </c>
    </row>
    <row r="7" spans="1:9" x14ac:dyDescent="0.35">
      <c r="A7" s="2" t="s">
        <v>9</v>
      </c>
      <c r="B7" s="2">
        <v>12724</v>
      </c>
      <c r="C7" s="2">
        <v>20714</v>
      </c>
      <c r="D7" s="2">
        <v>16969</v>
      </c>
      <c r="E7" s="2">
        <v>19777</v>
      </c>
      <c r="F7" s="2">
        <f t="shared" si="0"/>
        <v>70184</v>
      </c>
      <c r="G7" s="2">
        <f t="shared" si="1"/>
        <v>70184</v>
      </c>
    </row>
    <row r="8" spans="1:9" x14ac:dyDescent="0.35">
      <c r="A8" s="2" t="s">
        <v>10</v>
      </c>
      <c r="B8" s="2">
        <v>29893</v>
      </c>
      <c r="C8" s="2">
        <v>25585</v>
      </c>
      <c r="D8" s="2">
        <v>15244</v>
      </c>
      <c r="E8" s="2">
        <v>22373</v>
      </c>
      <c r="F8" s="2">
        <f t="shared" si="0"/>
        <v>93095</v>
      </c>
      <c r="G8" s="2">
        <f t="shared" si="1"/>
        <v>93095</v>
      </c>
    </row>
    <row r="9" spans="1:9" x14ac:dyDescent="0.35">
      <c r="A9" s="2" t="s">
        <v>11</v>
      </c>
      <c r="B9" s="2">
        <v>19505</v>
      </c>
      <c r="C9" s="2">
        <v>26123</v>
      </c>
      <c r="D9" s="2">
        <v>14444</v>
      </c>
      <c r="E9" s="2">
        <v>25501</v>
      </c>
      <c r="F9" s="2">
        <f t="shared" si="0"/>
        <v>85573</v>
      </c>
      <c r="G9" s="2">
        <f t="shared" si="1"/>
        <v>85573</v>
      </c>
    </row>
    <row r="10" spans="1:9" x14ac:dyDescent="0.35">
      <c r="A10" s="2" t="s">
        <v>12</v>
      </c>
      <c r="B10" s="2">
        <v>13074</v>
      </c>
      <c r="C10" s="2">
        <v>10495</v>
      </c>
      <c r="D10" s="2">
        <v>21567</v>
      </c>
      <c r="E10" s="2">
        <v>12334</v>
      </c>
      <c r="F10" s="2">
        <f t="shared" si="0"/>
        <v>57470</v>
      </c>
      <c r="G10" s="2">
        <f t="shared" si="1"/>
        <v>57470</v>
      </c>
    </row>
    <row r="11" spans="1:9" x14ac:dyDescent="0.35">
      <c r="A11" s="2" t="s">
        <v>13</v>
      </c>
      <c r="B11" s="2">
        <v>12818</v>
      </c>
      <c r="C11" s="2">
        <v>26835</v>
      </c>
      <c r="D11" s="2">
        <v>28948</v>
      </c>
      <c r="E11" s="2">
        <v>11872</v>
      </c>
      <c r="F11" s="2">
        <f t="shared" si="0"/>
        <v>80473</v>
      </c>
      <c r="G11" s="2">
        <f t="shared" si="1"/>
        <v>80473</v>
      </c>
    </row>
    <row r="12" spans="1:9" x14ac:dyDescent="0.35">
      <c r="A12" s="2" t="s">
        <v>14</v>
      </c>
      <c r="B12" s="2">
        <v>24981</v>
      </c>
      <c r="C12" s="2">
        <v>16197</v>
      </c>
      <c r="D12" s="2">
        <v>19031</v>
      </c>
      <c r="E12" s="2">
        <v>16269</v>
      </c>
      <c r="F12" s="2">
        <f t="shared" si="0"/>
        <v>76478</v>
      </c>
      <c r="G12" s="2">
        <f t="shared" si="1"/>
        <v>76478</v>
      </c>
    </row>
    <row r="13" spans="1:9" x14ac:dyDescent="0.35">
      <c r="A13" s="2" t="s">
        <v>15</v>
      </c>
      <c r="B13" s="2">
        <v>24555</v>
      </c>
      <c r="C13" s="2">
        <v>19244</v>
      </c>
      <c r="D13" s="2">
        <v>12817</v>
      </c>
      <c r="E13" s="2">
        <v>15713</v>
      </c>
      <c r="F13" s="2">
        <f t="shared" si="0"/>
        <v>72329</v>
      </c>
      <c r="G13" s="2">
        <f t="shared" si="1"/>
        <v>72329</v>
      </c>
    </row>
    <row r="14" spans="1:9" x14ac:dyDescent="0.35">
      <c r="A14" s="2" t="s">
        <v>16</v>
      </c>
      <c r="B14" s="2">
        <v>27825</v>
      </c>
      <c r="C14" s="2">
        <v>26673</v>
      </c>
      <c r="D14" s="2">
        <v>21549</v>
      </c>
      <c r="E14" s="2">
        <v>20681</v>
      </c>
      <c r="F14" s="2">
        <f t="shared" si="0"/>
        <v>96728</v>
      </c>
      <c r="G14" s="2">
        <f t="shared" si="1"/>
        <v>96728</v>
      </c>
    </row>
    <row r="15" spans="1:9" x14ac:dyDescent="0.35">
      <c r="A15" s="2" t="s">
        <v>17</v>
      </c>
      <c r="B15" s="2">
        <v>23815</v>
      </c>
      <c r="C15" s="2">
        <v>26861</v>
      </c>
      <c r="D15" s="2">
        <v>20381</v>
      </c>
      <c r="E15" s="2">
        <v>22299</v>
      </c>
      <c r="F15" s="2">
        <f t="shared" si="0"/>
        <v>93356</v>
      </c>
      <c r="G15" s="2">
        <f t="shared" si="1"/>
        <v>93356</v>
      </c>
    </row>
    <row r="16" spans="1:9" x14ac:dyDescent="0.35">
      <c r="A16" s="2" t="s">
        <v>5</v>
      </c>
    </row>
    <row r="19" spans="1:8" x14ac:dyDescent="0.35">
      <c r="A19" s="4" t="s">
        <v>34</v>
      </c>
    </row>
    <row r="21" spans="1:8" x14ac:dyDescent="0.35">
      <c r="A21" s="10" t="s">
        <v>0</v>
      </c>
      <c r="B21" s="11" t="s">
        <v>1</v>
      </c>
      <c r="C21" s="11" t="s">
        <v>2</v>
      </c>
      <c r="D21" s="11" t="s">
        <v>3</v>
      </c>
      <c r="E21" s="11" t="s">
        <v>4</v>
      </c>
      <c r="F21" s="12"/>
    </row>
    <row r="22" spans="1:8" x14ac:dyDescent="0.35">
      <c r="A22" s="2" t="s">
        <v>6</v>
      </c>
      <c r="B22" s="2">
        <v>29120</v>
      </c>
      <c r="C22" s="2">
        <v>19162</v>
      </c>
      <c r="D22" s="2">
        <v>19219</v>
      </c>
      <c r="E22" s="2">
        <v>13240</v>
      </c>
    </row>
    <row r="23" spans="1:8" x14ac:dyDescent="0.35">
      <c r="A23" s="2" t="s">
        <v>7</v>
      </c>
      <c r="B23" s="2">
        <v>15154</v>
      </c>
      <c r="C23" s="2">
        <v>24516</v>
      </c>
      <c r="D23" s="2">
        <v>29110</v>
      </c>
      <c r="E23" s="2">
        <v>28228</v>
      </c>
      <c r="H23" s="2">
        <v>30000</v>
      </c>
    </row>
    <row r="24" spans="1:8" x14ac:dyDescent="0.35">
      <c r="A24" s="2" t="s">
        <v>8</v>
      </c>
      <c r="B24" s="2">
        <v>12005</v>
      </c>
      <c r="C24" s="2">
        <v>20728</v>
      </c>
      <c r="D24" s="2">
        <v>25454</v>
      </c>
      <c r="E24" s="2">
        <v>28650</v>
      </c>
      <c r="H24" s="2">
        <f>H23-5000</f>
        <v>25000</v>
      </c>
    </row>
    <row r="25" spans="1:8" x14ac:dyDescent="0.35">
      <c r="A25" s="2" t="s">
        <v>9</v>
      </c>
      <c r="B25" s="2">
        <v>12724</v>
      </c>
      <c r="C25" s="2">
        <v>20714</v>
      </c>
      <c r="D25" s="2">
        <v>16969</v>
      </c>
      <c r="E25" s="2">
        <v>19777</v>
      </c>
      <c r="H25" s="2">
        <f t="shared" ref="H25:H27" si="2">H24-5000</f>
        <v>20000</v>
      </c>
    </row>
    <row r="26" spans="1:8" x14ac:dyDescent="0.35">
      <c r="A26" s="2" t="s">
        <v>10</v>
      </c>
      <c r="B26" s="2">
        <v>29893</v>
      </c>
      <c r="C26" s="2">
        <v>25585</v>
      </c>
      <c r="D26" s="2">
        <v>15244</v>
      </c>
      <c r="E26" s="2">
        <v>22373</v>
      </c>
      <c r="H26" s="2">
        <f t="shared" si="2"/>
        <v>15000</v>
      </c>
    </row>
    <row r="27" spans="1:8" x14ac:dyDescent="0.35">
      <c r="A27" s="2" t="s">
        <v>11</v>
      </c>
      <c r="B27" s="2">
        <v>19505</v>
      </c>
      <c r="C27" s="2">
        <v>26123</v>
      </c>
      <c r="D27" s="2">
        <v>14444</v>
      </c>
      <c r="E27" s="2">
        <v>25501</v>
      </c>
      <c r="H27" s="2">
        <f t="shared" si="2"/>
        <v>10000</v>
      </c>
    </row>
    <row r="28" spans="1:8" x14ac:dyDescent="0.35">
      <c r="A28" s="2" t="s">
        <v>12</v>
      </c>
      <c r="B28" s="2">
        <v>13074</v>
      </c>
      <c r="C28" s="2">
        <v>10495</v>
      </c>
      <c r="D28" s="2">
        <v>21567</v>
      </c>
      <c r="E28" s="2">
        <v>12334</v>
      </c>
    </row>
    <row r="29" spans="1:8" x14ac:dyDescent="0.35">
      <c r="A29" s="2" t="s">
        <v>13</v>
      </c>
      <c r="B29" s="2">
        <v>12818</v>
      </c>
      <c r="C29" s="2">
        <v>26835</v>
      </c>
      <c r="D29" s="2">
        <v>28948</v>
      </c>
      <c r="E29" s="2">
        <v>11872</v>
      </c>
    </row>
    <row r="30" spans="1:8" x14ac:dyDescent="0.35">
      <c r="A30" s="2" t="s">
        <v>14</v>
      </c>
      <c r="B30" s="2">
        <v>24981</v>
      </c>
      <c r="C30" s="2">
        <v>16197</v>
      </c>
      <c r="D30" s="2">
        <v>19031</v>
      </c>
      <c r="E30" s="2">
        <v>16269</v>
      </c>
    </row>
    <row r="31" spans="1:8" x14ac:dyDescent="0.35">
      <c r="A31" s="2" t="s">
        <v>15</v>
      </c>
      <c r="B31" s="2">
        <v>24555</v>
      </c>
      <c r="C31" s="2">
        <v>19244</v>
      </c>
      <c r="D31" s="2">
        <v>12817</v>
      </c>
      <c r="E31" s="2">
        <v>15713</v>
      </c>
    </row>
    <row r="32" spans="1:8" x14ac:dyDescent="0.35">
      <c r="A32" s="2" t="s">
        <v>16</v>
      </c>
      <c r="B32" s="2">
        <v>27825</v>
      </c>
      <c r="C32" s="2">
        <v>26673</v>
      </c>
      <c r="D32" s="2">
        <v>21549</v>
      </c>
      <c r="E32" s="2">
        <v>20681</v>
      </c>
    </row>
    <row r="33" spans="1:6" x14ac:dyDescent="0.35">
      <c r="A33" s="2" t="s">
        <v>17</v>
      </c>
      <c r="B33" s="2">
        <v>23815</v>
      </c>
      <c r="C33" s="2">
        <v>26861</v>
      </c>
      <c r="D33" s="2">
        <v>20381</v>
      </c>
      <c r="E33" s="2">
        <v>22299</v>
      </c>
    </row>
    <row r="36" spans="1:6" x14ac:dyDescent="0.35">
      <c r="A36" s="4" t="s">
        <v>37</v>
      </c>
    </row>
    <row r="38" spans="1:6" x14ac:dyDescent="0.35">
      <c r="A38" s="10" t="s">
        <v>0</v>
      </c>
      <c r="B38" s="11" t="s">
        <v>1</v>
      </c>
      <c r="C38" s="11" t="s">
        <v>2</v>
      </c>
      <c r="D38" s="11" t="s">
        <v>3</v>
      </c>
      <c r="E38" s="11" t="s">
        <v>4</v>
      </c>
      <c r="F38" s="11" t="s">
        <v>5</v>
      </c>
    </row>
    <row r="39" spans="1:6" x14ac:dyDescent="0.35">
      <c r="A39" s="2" t="s">
        <v>6</v>
      </c>
      <c r="B39" s="2">
        <v>29120</v>
      </c>
      <c r="C39" s="2">
        <v>19162</v>
      </c>
      <c r="D39" s="2">
        <v>19219</v>
      </c>
      <c r="E39" s="2">
        <v>13240</v>
      </c>
      <c r="F39" s="2">
        <f>E39-D39</f>
        <v>-5979</v>
      </c>
    </row>
    <row r="40" spans="1:6" x14ac:dyDescent="0.35">
      <c r="A40" s="2" t="s">
        <v>7</v>
      </c>
      <c r="B40" s="2">
        <v>15154</v>
      </c>
      <c r="C40" s="2">
        <v>24516</v>
      </c>
      <c r="D40" s="2">
        <v>29110</v>
      </c>
      <c r="E40" s="2">
        <v>20000</v>
      </c>
      <c r="F40" s="2">
        <f t="shared" ref="F40:F50" si="3">E40-D40</f>
        <v>-9110</v>
      </c>
    </row>
    <row r="41" spans="1:6" x14ac:dyDescent="0.35">
      <c r="A41" s="2" t="s">
        <v>8</v>
      </c>
      <c r="B41" s="2">
        <v>20000</v>
      </c>
      <c r="C41" s="2">
        <v>20728</v>
      </c>
      <c r="D41" s="2">
        <v>25454</v>
      </c>
      <c r="E41" s="2">
        <v>28650</v>
      </c>
      <c r="F41" s="2">
        <f t="shared" si="3"/>
        <v>3196</v>
      </c>
    </row>
    <row r="42" spans="1:6" x14ac:dyDescent="0.35">
      <c r="A42" s="2" t="s">
        <v>9</v>
      </c>
      <c r="B42" s="2">
        <v>12724</v>
      </c>
      <c r="C42" s="2">
        <v>20714</v>
      </c>
      <c r="D42" s="2">
        <v>16969</v>
      </c>
      <c r="E42" s="2">
        <v>19777</v>
      </c>
      <c r="F42" s="2">
        <f t="shared" si="3"/>
        <v>2808</v>
      </c>
    </row>
    <row r="43" spans="1:6" x14ac:dyDescent="0.35">
      <c r="A43" s="2" t="s">
        <v>10</v>
      </c>
      <c r="B43" s="2">
        <v>29893</v>
      </c>
      <c r="C43" s="2">
        <v>25585</v>
      </c>
      <c r="D43" s="2">
        <v>20000</v>
      </c>
      <c r="E43" s="2">
        <v>20000</v>
      </c>
      <c r="F43" s="2">
        <f t="shared" si="3"/>
        <v>0</v>
      </c>
    </row>
    <row r="44" spans="1:6" x14ac:dyDescent="0.35">
      <c r="A44" s="2" t="s">
        <v>11</v>
      </c>
      <c r="B44" s="2">
        <v>19505</v>
      </c>
      <c r="C44" s="2">
        <v>26123</v>
      </c>
      <c r="D44" s="2">
        <v>14444</v>
      </c>
      <c r="E44" s="2">
        <v>25501</v>
      </c>
      <c r="F44" s="2">
        <f t="shared" si="3"/>
        <v>11057</v>
      </c>
    </row>
    <row r="45" spans="1:6" x14ac:dyDescent="0.35">
      <c r="A45" s="2" t="s">
        <v>12</v>
      </c>
      <c r="B45" s="2">
        <v>20000</v>
      </c>
      <c r="C45" s="2">
        <v>10495</v>
      </c>
      <c r="D45" s="2">
        <v>21567</v>
      </c>
      <c r="E45" s="2">
        <v>12334</v>
      </c>
      <c r="F45" s="2">
        <f t="shared" si="3"/>
        <v>-9233</v>
      </c>
    </row>
    <row r="46" spans="1:6" x14ac:dyDescent="0.35">
      <c r="A46" s="2" t="s">
        <v>13</v>
      </c>
      <c r="B46" s="2">
        <v>12818</v>
      </c>
      <c r="C46" s="2">
        <v>26835</v>
      </c>
      <c r="D46" s="2">
        <v>28948</v>
      </c>
      <c r="E46" s="2">
        <v>11872</v>
      </c>
      <c r="F46" s="2">
        <f t="shared" si="3"/>
        <v>-17076</v>
      </c>
    </row>
    <row r="47" spans="1:6" x14ac:dyDescent="0.35">
      <c r="A47" s="2" t="s">
        <v>14</v>
      </c>
      <c r="B47" s="2">
        <v>24981</v>
      </c>
      <c r="C47" s="2">
        <v>20000</v>
      </c>
      <c r="D47" s="2">
        <v>19031</v>
      </c>
      <c r="E47" s="2">
        <v>16269</v>
      </c>
      <c r="F47" s="2">
        <f t="shared" si="3"/>
        <v>-2762</v>
      </c>
    </row>
    <row r="48" spans="1:6" x14ac:dyDescent="0.35">
      <c r="A48" s="2" t="s">
        <v>15</v>
      </c>
      <c r="B48" s="2">
        <v>24555</v>
      </c>
      <c r="C48" s="2">
        <v>19244</v>
      </c>
      <c r="D48" s="2">
        <v>12817</v>
      </c>
      <c r="E48" s="2">
        <v>15713</v>
      </c>
      <c r="F48" s="2">
        <f t="shared" si="3"/>
        <v>2896</v>
      </c>
    </row>
    <row r="49" spans="1:6" x14ac:dyDescent="0.35">
      <c r="A49" s="2" t="s">
        <v>16</v>
      </c>
      <c r="B49" s="2">
        <v>27825</v>
      </c>
      <c r="C49" s="2">
        <v>26673</v>
      </c>
      <c r="D49" s="2">
        <v>21549</v>
      </c>
      <c r="E49" s="2">
        <v>20681</v>
      </c>
      <c r="F49" s="2">
        <f t="shared" si="3"/>
        <v>-868</v>
      </c>
    </row>
    <row r="50" spans="1:6" x14ac:dyDescent="0.35">
      <c r="A50" s="2" t="s">
        <v>17</v>
      </c>
      <c r="B50" s="2">
        <v>23815</v>
      </c>
      <c r="C50" s="2">
        <v>26861</v>
      </c>
      <c r="D50" s="2">
        <v>20381</v>
      </c>
      <c r="E50" s="2">
        <v>22299</v>
      </c>
      <c r="F50" s="2">
        <f t="shared" si="3"/>
        <v>1918</v>
      </c>
    </row>
    <row r="51" spans="1:6" x14ac:dyDescent="0.35">
      <c r="A51" s="2" t="s">
        <v>5</v>
      </c>
    </row>
  </sheetData>
  <conditionalFormatting sqref="F4:F15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{00B2441A-BF14-474D-A3DF-334208AAA46B}</x14:id>
        </ext>
      </extLst>
    </cfRule>
  </conditionalFormatting>
  <conditionalFormatting sqref="G4:G15">
    <cfRule type="dataBar" priority="4">
      <dataBar showValue="0">
        <cfvo type="min"/>
        <cfvo type="max"/>
        <color theme="3" tint="0.59999389629810485"/>
      </dataBar>
      <extLst>
        <ext xmlns:x14="http://schemas.microsoft.com/office/spreadsheetml/2009/9/main" uri="{B025F937-C7B1-47D3-B67F-A62EFF666E3E}">
          <x14:id>{B5520A6D-99A5-45B6-B15D-C2B0DA7AAEE3}</x14:id>
        </ext>
      </extLst>
    </cfRule>
  </conditionalFormatting>
  <conditionalFormatting sqref="B22:E33">
    <cfRule type="colorScale" priority="3">
      <colorScale>
        <cfvo type="min"/>
        <cfvo type="max"/>
        <color rgb="FFFCFCFF"/>
        <color rgb="FF63BE7B"/>
      </colorScale>
    </cfRule>
  </conditionalFormatting>
  <conditionalFormatting sqref="H23:H27">
    <cfRule type="colorScale" priority="2">
      <colorScale>
        <cfvo type="min"/>
        <cfvo type="max"/>
        <color rgb="FFFCFCFF"/>
        <color rgb="FF63BE7B"/>
      </colorScale>
    </cfRule>
  </conditionalFormatting>
  <conditionalFormatting sqref="F39:F50">
    <cfRule type="iconSet" priority="1">
      <iconSet iconSet="3Arrows">
        <cfvo type="percent" val="0"/>
        <cfvo type="num" val="0"/>
        <cfvo type="num" val="0" gte="0"/>
      </iconSet>
    </cfRule>
  </conditionalFormatting>
  <pageMargins left="0.75" right="0.75" top="1" bottom="1" header="0.5" footer="0.5"/>
  <pageSetup orientation="portrait" horizontalDpi="300" verticalDpi="300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B2441A-BF14-474D-A3DF-334208AAA46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F4:F15</xm:sqref>
        </x14:conditionalFormatting>
        <x14:conditionalFormatting xmlns:xm="http://schemas.microsoft.com/office/excel/2006/main">
          <x14:cfRule type="dataBar" id="{B5520A6D-99A5-45B6-B15D-C2B0DA7AAE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G4:G15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Conditional Formatting - Part 1</vt:lpstr>
      <vt:lpstr>Conditional Formatting - Part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turing</dc:creator>
  <cp:lastModifiedBy>DIGITAL</cp:lastModifiedBy>
  <dcterms:created xsi:type="dcterms:W3CDTF">2012-03-13T19:06:11Z</dcterms:created>
  <dcterms:modified xsi:type="dcterms:W3CDTF">2026-08-10T07:07:52Z</dcterms:modified>
</cp:coreProperties>
</file>